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Dr Arvind Sharma\2021Q1_Quality\"/>
    </mc:Choice>
  </mc:AlternateContent>
  <bookViews>
    <workbookView xWindow="0" yWindow="0" windowWidth="23040" windowHeight="9192"/>
  </bookViews>
  <sheets>
    <sheet name="Andhra Pradesh  " sheetId="7" r:id="rId1"/>
    <sheet name="Assam" sheetId="12" r:id="rId2"/>
    <sheet name="Bihar and Jharkhand" sheetId="13" r:id="rId3"/>
    <sheet name="Chennai" sheetId="14" r:id="rId4"/>
    <sheet name="Delhi" sheetId="15" r:id="rId5"/>
    <sheet name="Gujrat" sheetId="16" r:id="rId6"/>
    <sheet name="Himachal Pradesh" sheetId="17" r:id="rId7"/>
    <sheet name="Haryana" sheetId="18" r:id="rId8"/>
    <sheet name="Jammu  and Kashmir" sheetId="11" r:id="rId9"/>
    <sheet name="Kolkata" sheetId="19" r:id="rId10"/>
    <sheet name="Kerala" sheetId="20" r:id="rId11"/>
    <sheet name="Karnataka" sheetId="21" r:id="rId12"/>
    <sheet name="Maharashtra" sheetId="22" r:id="rId13"/>
    <sheet name="Madhya Pradesh" sheetId="23" r:id="rId14"/>
    <sheet name="Mumbai" sheetId="24" r:id="rId15"/>
    <sheet name="North East" sheetId="25" r:id="rId16"/>
    <sheet name="Orissa" sheetId="26" r:id="rId17"/>
    <sheet name="Punjab" sheetId="27" r:id="rId18"/>
    <sheet name="Rajasthan" sheetId="28" r:id="rId19"/>
    <sheet name="Tamilnadu" sheetId="29" r:id="rId20"/>
    <sheet name="Utar Pradesh (East)" sheetId="30" r:id="rId21"/>
    <sheet name="Utar Pradesh (West)" sheetId="31" r:id="rId22"/>
    <sheet name="West Bengal" sheetId="32" r:id="rId23"/>
  </sheets>
  <calcPr calcId="162913"/>
</workbook>
</file>

<file path=xl/calcChain.xml><?xml version="1.0" encoding="utf-8"?>
<calcChain xmlns="http://schemas.openxmlformats.org/spreadsheetml/2006/main">
  <c r="L3" i="7" l="1"/>
  <c r="M3" i="7"/>
  <c r="N3" i="7"/>
  <c r="O3" i="7"/>
  <c r="P3" i="7"/>
  <c r="L4" i="7"/>
  <c r="M4" i="7"/>
  <c r="N4" i="7"/>
  <c r="O4" i="7"/>
  <c r="P4" i="7"/>
  <c r="L5" i="7"/>
  <c r="M5" i="7"/>
  <c r="N5" i="7"/>
  <c r="O5" i="7"/>
  <c r="P5" i="7"/>
  <c r="L6" i="7"/>
  <c r="M6" i="7"/>
  <c r="N6" i="7"/>
  <c r="O6" i="7"/>
  <c r="P6" i="7"/>
  <c r="L7" i="7"/>
  <c r="M7" i="7"/>
  <c r="N7" i="7"/>
  <c r="O7" i="7"/>
  <c r="P7" i="7"/>
  <c r="L8" i="7"/>
  <c r="M8" i="7"/>
  <c r="N8" i="7"/>
  <c r="O8" i="7"/>
  <c r="P8" i="7"/>
  <c r="L9" i="7"/>
  <c r="M9" i="7"/>
  <c r="N9" i="7"/>
  <c r="O9" i="7"/>
  <c r="P9" i="7"/>
  <c r="L10" i="7"/>
  <c r="M10" i="7"/>
  <c r="N10" i="7"/>
  <c r="O10" i="7"/>
  <c r="P10" i="7"/>
  <c r="L11" i="7"/>
  <c r="M11" i="7"/>
  <c r="N11" i="7"/>
  <c r="O11" i="7"/>
  <c r="P11" i="7"/>
  <c r="L12" i="7"/>
  <c r="M12" i="7"/>
  <c r="N12" i="7"/>
  <c r="O12" i="7"/>
  <c r="P12" i="7"/>
  <c r="L13" i="7"/>
  <c r="M13" i="7"/>
  <c r="N13" i="7"/>
  <c r="O13" i="7"/>
  <c r="P13" i="7"/>
  <c r="L14" i="7"/>
  <c r="M14" i="7"/>
  <c r="N14" i="7"/>
  <c r="O14" i="7"/>
  <c r="P14" i="7"/>
  <c r="L15" i="7"/>
  <c r="M15" i="7"/>
  <c r="N15" i="7"/>
  <c r="O15" i="7"/>
  <c r="P15" i="7"/>
  <c r="L16" i="7"/>
  <c r="M16" i="7"/>
  <c r="N16" i="7"/>
  <c r="O16" i="7"/>
  <c r="P16" i="7"/>
  <c r="L17" i="7"/>
  <c r="M17" i="7"/>
  <c r="N17" i="7"/>
  <c r="O17" i="7"/>
  <c r="P17" i="7"/>
  <c r="L18" i="7"/>
  <c r="M18" i="7"/>
  <c r="N18" i="7"/>
  <c r="O18" i="7"/>
  <c r="P18" i="7"/>
  <c r="L19" i="7"/>
  <c r="M19" i="7"/>
  <c r="N19" i="7"/>
  <c r="O19" i="7"/>
  <c r="P19" i="7"/>
  <c r="L20" i="7"/>
  <c r="M20" i="7"/>
  <c r="N20" i="7"/>
  <c r="O20" i="7"/>
  <c r="P20" i="7"/>
  <c r="L21" i="7"/>
  <c r="M21" i="7"/>
  <c r="N21" i="7"/>
  <c r="O21" i="7"/>
  <c r="P21" i="7"/>
  <c r="L22" i="7"/>
  <c r="M22" i="7"/>
  <c r="N22" i="7"/>
  <c r="O22" i="7"/>
  <c r="P22" i="7"/>
  <c r="L23" i="7"/>
  <c r="M23" i="7"/>
  <c r="N23" i="7"/>
  <c r="O23" i="7"/>
  <c r="P23" i="7"/>
  <c r="L24" i="7"/>
  <c r="M24" i="7"/>
  <c r="N24" i="7"/>
  <c r="O24" i="7"/>
  <c r="P24" i="7"/>
  <c r="L25" i="7"/>
  <c r="M25" i="7"/>
  <c r="N25" i="7"/>
  <c r="O25" i="7"/>
  <c r="P25" i="7"/>
  <c r="L26" i="7"/>
  <c r="M26" i="7"/>
  <c r="N26" i="7"/>
  <c r="O26" i="7"/>
  <c r="P26" i="7"/>
  <c r="L27" i="7"/>
  <c r="M27" i="7"/>
  <c r="N27" i="7"/>
  <c r="O27" i="7"/>
  <c r="P27" i="7"/>
  <c r="L28" i="7"/>
  <c r="M28" i="7"/>
  <c r="N28" i="7"/>
  <c r="O28" i="7"/>
  <c r="P28" i="7"/>
  <c r="L29" i="7"/>
  <c r="M29" i="7"/>
  <c r="N29" i="7"/>
  <c r="O29" i="7"/>
  <c r="P29" i="7"/>
  <c r="L30" i="7"/>
  <c r="M30" i="7"/>
  <c r="N30" i="7"/>
  <c r="O30" i="7"/>
  <c r="P30" i="7"/>
  <c r="L31" i="7"/>
  <c r="M31" i="7"/>
  <c r="N31" i="7"/>
  <c r="O31" i="7"/>
  <c r="P31" i="7"/>
  <c r="L32" i="7"/>
  <c r="M32" i="7"/>
  <c r="N32" i="7"/>
  <c r="O32" i="7"/>
  <c r="P32" i="7"/>
  <c r="M2" i="7"/>
  <c r="N2" i="7"/>
  <c r="O2" i="7"/>
  <c r="P2" i="7"/>
  <c r="L2" i="7"/>
  <c r="L2" i="12"/>
  <c r="L3" i="12"/>
  <c r="M3" i="12"/>
  <c r="N3" i="12"/>
  <c r="O3" i="12"/>
  <c r="P3" i="12"/>
  <c r="L4" i="12"/>
  <c r="M4" i="12"/>
  <c r="N4" i="12"/>
  <c r="O4" i="12"/>
  <c r="P4" i="12"/>
  <c r="L5" i="12"/>
  <c r="M5" i="12"/>
  <c r="N5" i="12"/>
  <c r="O5" i="12"/>
  <c r="P5" i="12"/>
  <c r="L6" i="12"/>
  <c r="M6" i="12"/>
  <c r="N6" i="12"/>
  <c r="O6" i="12"/>
  <c r="P6" i="12"/>
  <c r="L7" i="12"/>
  <c r="M7" i="12"/>
  <c r="N7" i="12"/>
  <c r="O7" i="12"/>
  <c r="P7" i="12"/>
  <c r="L8" i="12"/>
  <c r="M8" i="12"/>
  <c r="N8" i="12"/>
  <c r="O8" i="12"/>
  <c r="P8" i="12"/>
  <c r="L9" i="12"/>
  <c r="M9" i="12"/>
  <c r="N9" i="12"/>
  <c r="O9" i="12"/>
  <c r="P9" i="12"/>
  <c r="L10" i="12"/>
  <c r="M10" i="12"/>
  <c r="N10" i="12"/>
  <c r="O10" i="12"/>
  <c r="P10" i="12"/>
  <c r="L11" i="12"/>
  <c r="M11" i="12"/>
  <c r="N11" i="12"/>
  <c r="O11" i="12"/>
  <c r="P11" i="12"/>
  <c r="L12" i="12"/>
  <c r="M12" i="12"/>
  <c r="N12" i="12"/>
  <c r="O12" i="12"/>
  <c r="P12" i="12"/>
  <c r="L13" i="12"/>
  <c r="M13" i="12"/>
  <c r="N13" i="12"/>
  <c r="O13" i="12"/>
  <c r="P13" i="12"/>
  <c r="L14" i="12"/>
  <c r="M14" i="12"/>
  <c r="N14" i="12"/>
  <c r="O14" i="12"/>
  <c r="P14" i="12"/>
  <c r="L15" i="12"/>
  <c r="M15" i="12"/>
  <c r="N15" i="12"/>
  <c r="O15" i="12"/>
  <c r="P15" i="12"/>
  <c r="L16" i="12"/>
  <c r="M16" i="12"/>
  <c r="N16" i="12"/>
  <c r="O16" i="12"/>
  <c r="P16" i="12"/>
  <c r="L17" i="12"/>
  <c r="M17" i="12"/>
  <c r="N17" i="12"/>
  <c r="O17" i="12"/>
  <c r="P17" i="12"/>
  <c r="L18" i="12"/>
  <c r="M18" i="12"/>
  <c r="N18" i="12"/>
  <c r="O18" i="12"/>
  <c r="P18" i="12"/>
  <c r="L19" i="12"/>
  <c r="M19" i="12"/>
  <c r="N19" i="12"/>
  <c r="O19" i="12"/>
  <c r="P19" i="12"/>
  <c r="L20" i="12"/>
  <c r="M20" i="12"/>
  <c r="N20" i="12"/>
  <c r="O20" i="12"/>
  <c r="P20" i="12"/>
  <c r="L21" i="12"/>
  <c r="M21" i="12"/>
  <c r="N21" i="12"/>
  <c r="O21" i="12"/>
  <c r="P21" i="12"/>
  <c r="L22" i="12"/>
  <c r="M22" i="12"/>
  <c r="N22" i="12"/>
  <c r="O22" i="12"/>
  <c r="P22" i="12"/>
  <c r="L23" i="12"/>
  <c r="M23" i="12"/>
  <c r="N23" i="12"/>
  <c r="O23" i="12"/>
  <c r="P23" i="12"/>
  <c r="L24" i="12"/>
  <c r="M24" i="12"/>
  <c r="N24" i="12"/>
  <c r="O24" i="12"/>
  <c r="P24" i="12"/>
  <c r="L25" i="12"/>
  <c r="M25" i="12"/>
  <c r="N25" i="12"/>
  <c r="O25" i="12"/>
  <c r="P25" i="12"/>
  <c r="L26" i="12"/>
  <c r="M26" i="12"/>
  <c r="N26" i="12"/>
  <c r="O26" i="12"/>
  <c r="P26" i="12"/>
  <c r="L27" i="12"/>
  <c r="M27" i="12"/>
  <c r="N27" i="12"/>
  <c r="O27" i="12"/>
  <c r="P27" i="12"/>
  <c r="L28" i="12"/>
  <c r="M28" i="12"/>
  <c r="N28" i="12"/>
  <c r="O28" i="12"/>
  <c r="P28" i="12"/>
  <c r="L29" i="12"/>
  <c r="M29" i="12"/>
  <c r="N29" i="12"/>
  <c r="O29" i="12"/>
  <c r="P29" i="12"/>
  <c r="L30" i="12"/>
  <c r="M30" i="12"/>
  <c r="N30" i="12"/>
  <c r="O30" i="12"/>
  <c r="P30" i="12"/>
  <c r="L31" i="12"/>
  <c r="M31" i="12"/>
  <c r="N31" i="12"/>
  <c r="O31" i="12"/>
  <c r="P31" i="12"/>
  <c r="L32" i="12"/>
  <c r="M32" i="12"/>
  <c r="N32" i="12"/>
  <c r="O32" i="12"/>
  <c r="P32" i="12"/>
  <c r="L33" i="12"/>
  <c r="M33" i="12"/>
  <c r="N33" i="12"/>
  <c r="O33" i="12"/>
  <c r="P33" i="12"/>
  <c r="L34" i="12"/>
  <c r="M34" i="12"/>
  <c r="N34" i="12"/>
  <c r="O34" i="12"/>
  <c r="P34" i="12"/>
  <c r="L35" i="12"/>
  <c r="M35" i="12"/>
  <c r="N35" i="12"/>
  <c r="O35" i="12"/>
  <c r="P35" i="12"/>
  <c r="L36" i="12"/>
  <c r="M36" i="12"/>
  <c r="N36" i="12"/>
  <c r="O36" i="12"/>
  <c r="P36" i="12"/>
  <c r="L37" i="12"/>
  <c r="M37" i="12"/>
  <c r="N37" i="12"/>
  <c r="O37" i="12"/>
  <c r="P37" i="12"/>
  <c r="L38" i="12"/>
  <c r="M38" i="12"/>
  <c r="N38" i="12"/>
  <c r="O38" i="12"/>
  <c r="P38" i="12"/>
  <c r="L39" i="12"/>
  <c r="M39" i="12"/>
  <c r="N39" i="12"/>
  <c r="O39" i="12"/>
  <c r="P39" i="12"/>
  <c r="L40" i="12"/>
  <c r="M40" i="12"/>
  <c r="N40" i="12"/>
  <c r="O40" i="12"/>
  <c r="P40" i="12"/>
  <c r="L41" i="12"/>
  <c r="M41" i="12"/>
  <c r="N41" i="12"/>
  <c r="O41" i="12"/>
  <c r="P41" i="12"/>
  <c r="L42" i="12"/>
  <c r="M42" i="12"/>
  <c r="N42" i="12"/>
  <c r="O42" i="12"/>
  <c r="P42" i="12"/>
  <c r="L43" i="12"/>
  <c r="M43" i="12"/>
  <c r="N43" i="12"/>
  <c r="O43" i="12"/>
  <c r="P43" i="12"/>
  <c r="L44" i="12"/>
  <c r="M44" i="12"/>
  <c r="N44" i="12"/>
  <c r="O44" i="12"/>
  <c r="P44" i="12"/>
  <c r="L45" i="12"/>
  <c r="M45" i="12"/>
  <c r="N45" i="12"/>
  <c r="O45" i="12"/>
  <c r="P45" i="12"/>
  <c r="L46" i="12"/>
  <c r="M46" i="12"/>
  <c r="N46" i="12"/>
  <c r="O46" i="12"/>
  <c r="P46" i="12"/>
  <c r="L47" i="12"/>
  <c r="M47" i="12"/>
  <c r="N47" i="12"/>
  <c r="O47" i="12"/>
  <c r="P47" i="12"/>
  <c r="L48" i="12"/>
  <c r="M48" i="12"/>
  <c r="N48" i="12"/>
  <c r="O48" i="12"/>
  <c r="P48" i="12"/>
  <c r="L49" i="12"/>
  <c r="M49" i="12"/>
  <c r="N49" i="12"/>
  <c r="O49" i="12"/>
  <c r="P49" i="12"/>
  <c r="L50" i="12"/>
  <c r="M50" i="12"/>
  <c r="N50" i="12"/>
  <c r="O50" i="12"/>
  <c r="P50" i="12"/>
  <c r="L51" i="12"/>
  <c r="M51" i="12"/>
  <c r="N51" i="12"/>
  <c r="O51" i="12"/>
  <c r="P51" i="12"/>
  <c r="L52" i="12"/>
  <c r="M52" i="12"/>
  <c r="N52" i="12"/>
  <c r="O52" i="12"/>
  <c r="P52" i="12"/>
  <c r="L53" i="12"/>
  <c r="M53" i="12"/>
  <c r="N53" i="12"/>
  <c r="O53" i="12"/>
  <c r="P53" i="12"/>
  <c r="L54" i="12"/>
  <c r="M54" i="12"/>
  <c r="N54" i="12"/>
  <c r="O54" i="12"/>
  <c r="P54" i="12"/>
  <c r="L55" i="12"/>
  <c r="M55" i="12"/>
  <c r="N55" i="12"/>
  <c r="O55" i="12"/>
  <c r="P55" i="12"/>
  <c r="L56" i="12"/>
  <c r="M56" i="12"/>
  <c r="N56" i="12"/>
  <c r="O56" i="12"/>
  <c r="P56" i="12"/>
  <c r="L57" i="12"/>
  <c r="M57" i="12"/>
  <c r="N57" i="12"/>
  <c r="O57" i="12"/>
  <c r="P57" i="12"/>
  <c r="L58" i="12"/>
  <c r="M58" i="12"/>
  <c r="N58" i="12"/>
  <c r="O58" i="12"/>
  <c r="P58" i="12"/>
  <c r="L59" i="12"/>
  <c r="M59" i="12"/>
  <c r="N59" i="12"/>
  <c r="O59" i="12"/>
  <c r="P59" i="12"/>
  <c r="L60" i="12"/>
  <c r="M60" i="12"/>
  <c r="N60" i="12"/>
  <c r="O60" i="12"/>
  <c r="P60" i="12"/>
  <c r="L61" i="12"/>
  <c r="M61" i="12"/>
  <c r="N61" i="12"/>
  <c r="O61" i="12"/>
  <c r="P61" i="12"/>
  <c r="L62" i="12"/>
  <c r="M62" i="12"/>
  <c r="N62" i="12"/>
  <c r="O62" i="12"/>
  <c r="P62" i="12"/>
  <c r="L63" i="12"/>
  <c r="M63" i="12"/>
  <c r="N63" i="12"/>
  <c r="O63" i="12"/>
  <c r="P63" i="12"/>
  <c r="L64" i="12"/>
  <c r="M64" i="12"/>
  <c r="N64" i="12"/>
  <c r="O64" i="12"/>
  <c r="P64" i="12"/>
  <c r="L65" i="12"/>
  <c r="M65" i="12"/>
  <c r="N65" i="12"/>
  <c r="O65" i="12"/>
  <c r="P65" i="12"/>
  <c r="L66" i="12"/>
  <c r="M66" i="12"/>
  <c r="N66" i="12"/>
  <c r="O66" i="12"/>
  <c r="P66" i="12"/>
  <c r="L67" i="12"/>
  <c r="M67" i="12"/>
  <c r="N67" i="12"/>
  <c r="O67" i="12"/>
  <c r="P67" i="12"/>
  <c r="L68" i="12"/>
  <c r="M68" i="12"/>
  <c r="N68" i="12"/>
  <c r="O68" i="12"/>
  <c r="P68" i="12"/>
  <c r="L69" i="12"/>
  <c r="M69" i="12"/>
  <c r="N69" i="12"/>
  <c r="O69" i="12"/>
  <c r="P69" i="12"/>
  <c r="L70" i="12"/>
  <c r="M70" i="12"/>
  <c r="N70" i="12"/>
  <c r="O70" i="12"/>
  <c r="P70" i="12"/>
  <c r="L71" i="12"/>
  <c r="M71" i="12"/>
  <c r="N71" i="12"/>
  <c r="O71" i="12"/>
  <c r="P71" i="12"/>
  <c r="L72" i="12"/>
  <c r="M72" i="12"/>
  <c r="N72" i="12"/>
  <c r="O72" i="12"/>
  <c r="P72" i="12"/>
  <c r="L73" i="12"/>
  <c r="M73" i="12"/>
  <c r="N73" i="12"/>
  <c r="O73" i="12"/>
  <c r="P73" i="12"/>
  <c r="L74" i="12"/>
  <c r="M74" i="12"/>
  <c r="N74" i="12"/>
  <c r="O74" i="12"/>
  <c r="P74" i="12"/>
  <c r="L75" i="12"/>
  <c r="M75" i="12"/>
  <c r="N75" i="12"/>
  <c r="O75" i="12"/>
  <c r="P75" i="12"/>
  <c r="L76" i="12"/>
  <c r="M76" i="12"/>
  <c r="N76" i="12"/>
  <c r="O76" i="12"/>
  <c r="P76" i="12"/>
  <c r="L77" i="12"/>
  <c r="M77" i="12"/>
  <c r="N77" i="12"/>
  <c r="O77" i="12"/>
  <c r="P77" i="12"/>
  <c r="L78" i="12"/>
  <c r="M78" i="12"/>
  <c r="N78" i="12"/>
  <c r="O78" i="12"/>
  <c r="P78" i="12"/>
  <c r="L79" i="12"/>
  <c r="M79" i="12"/>
  <c r="N79" i="12"/>
  <c r="O79" i="12"/>
  <c r="P79" i="12"/>
  <c r="L80" i="12"/>
  <c r="M80" i="12"/>
  <c r="N80" i="12"/>
  <c r="O80" i="12"/>
  <c r="P80" i="12"/>
  <c r="L81" i="12"/>
  <c r="M81" i="12"/>
  <c r="N81" i="12"/>
  <c r="O81" i="12"/>
  <c r="P81" i="12"/>
  <c r="L82" i="12"/>
  <c r="M82" i="12"/>
  <c r="N82" i="12"/>
  <c r="O82" i="12"/>
  <c r="P82" i="12"/>
  <c r="L83" i="12"/>
  <c r="M83" i="12"/>
  <c r="N83" i="12"/>
  <c r="O83" i="12"/>
  <c r="P83" i="12"/>
  <c r="L84" i="12"/>
  <c r="M84" i="12"/>
  <c r="N84" i="12"/>
  <c r="O84" i="12"/>
  <c r="P84" i="12"/>
  <c r="L85" i="12"/>
  <c r="M85" i="12"/>
  <c r="N85" i="12"/>
  <c r="O85" i="12"/>
  <c r="P85" i="12"/>
  <c r="L86" i="12"/>
  <c r="M86" i="12"/>
  <c r="N86" i="12"/>
  <c r="O86" i="12"/>
  <c r="P86" i="12"/>
  <c r="L87" i="12"/>
  <c r="M87" i="12"/>
  <c r="N87" i="12"/>
  <c r="O87" i="12"/>
  <c r="P87" i="12"/>
  <c r="L88" i="12"/>
  <c r="M88" i="12"/>
  <c r="N88" i="12"/>
  <c r="O88" i="12"/>
  <c r="P88" i="12"/>
  <c r="L89" i="12"/>
  <c r="M89" i="12"/>
  <c r="N89" i="12"/>
  <c r="O89" i="12"/>
  <c r="P89" i="12"/>
  <c r="L90" i="12"/>
  <c r="M90" i="12"/>
  <c r="N90" i="12"/>
  <c r="O90" i="12"/>
  <c r="P90" i="12"/>
  <c r="L91" i="12"/>
  <c r="M91" i="12"/>
  <c r="N91" i="12"/>
  <c r="O91" i="12"/>
  <c r="P91" i="12"/>
  <c r="L92" i="12"/>
  <c r="M92" i="12"/>
  <c r="N92" i="12"/>
  <c r="O92" i="12"/>
  <c r="P92" i="12"/>
  <c r="L93" i="12"/>
  <c r="M93" i="12"/>
  <c r="N93" i="12"/>
  <c r="O93" i="12"/>
  <c r="P93" i="12"/>
  <c r="L94" i="12"/>
  <c r="M94" i="12"/>
  <c r="N94" i="12"/>
  <c r="O94" i="12"/>
  <c r="P94" i="12"/>
  <c r="L95" i="12"/>
  <c r="M95" i="12"/>
  <c r="N95" i="12"/>
  <c r="O95" i="12"/>
  <c r="P95" i="12"/>
  <c r="L96" i="12"/>
  <c r="M96" i="12"/>
  <c r="N96" i="12"/>
  <c r="O96" i="12"/>
  <c r="P96" i="12"/>
  <c r="L97" i="12"/>
  <c r="M97" i="12"/>
  <c r="N97" i="12"/>
  <c r="O97" i="12"/>
  <c r="P97" i="12"/>
  <c r="L98" i="12"/>
  <c r="M98" i="12"/>
  <c r="N98" i="12"/>
  <c r="O98" i="12"/>
  <c r="P98" i="12"/>
  <c r="L99" i="12"/>
  <c r="M99" i="12"/>
  <c r="N99" i="12"/>
  <c r="O99" i="12"/>
  <c r="P99" i="12"/>
  <c r="L100" i="12"/>
  <c r="M100" i="12"/>
  <c r="N100" i="12"/>
  <c r="O100" i="12"/>
  <c r="P100" i="12"/>
  <c r="L101" i="12"/>
  <c r="M101" i="12"/>
  <c r="N101" i="12"/>
  <c r="O101" i="12"/>
  <c r="P101" i="12"/>
  <c r="L102" i="12"/>
  <c r="M102" i="12"/>
  <c r="N102" i="12"/>
  <c r="O102" i="12"/>
  <c r="P102" i="12"/>
  <c r="L103" i="12"/>
  <c r="M103" i="12"/>
  <c r="N103" i="12"/>
  <c r="O103" i="12"/>
  <c r="P103" i="12"/>
  <c r="L104" i="12"/>
  <c r="M104" i="12"/>
  <c r="N104" i="12"/>
  <c r="O104" i="12"/>
  <c r="P104" i="12"/>
  <c r="L105" i="12"/>
  <c r="M105" i="12"/>
  <c r="N105" i="12"/>
  <c r="O105" i="12"/>
  <c r="P105" i="12"/>
  <c r="L106" i="12"/>
  <c r="M106" i="12"/>
  <c r="N106" i="12"/>
  <c r="O106" i="12"/>
  <c r="P106" i="12"/>
  <c r="L107" i="12"/>
  <c r="M107" i="12"/>
  <c r="N107" i="12"/>
  <c r="O107" i="12"/>
  <c r="P107" i="12"/>
  <c r="L108" i="12"/>
  <c r="M108" i="12"/>
  <c r="N108" i="12"/>
  <c r="O108" i="12"/>
  <c r="P108" i="12"/>
  <c r="L109" i="12"/>
  <c r="M109" i="12"/>
  <c r="N109" i="12"/>
  <c r="O109" i="12"/>
  <c r="P109" i="12"/>
  <c r="L110" i="12"/>
  <c r="M110" i="12"/>
  <c r="N110" i="12"/>
  <c r="O110" i="12"/>
  <c r="P110" i="12"/>
  <c r="L111" i="12"/>
  <c r="M111" i="12"/>
  <c r="N111" i="12"/>
  <c r="O111" i="12"/>
  <c r="P111" i="12"/>
  <c r="L112" i="12"/>
  <c r="M112" i="12"/>
  <c r="N112" i="12"/>
  <c r="O112" i="12"/>
  <c r="P112" i="12"/>
  <c r="L113" i="12"/>
  <c r="M113" i="12"/>
  <c r="N113" i="12"/>
  <c r="O113" i="12"/>
  <c r="P113" i="12"/>
  <c r="L114" i="12"/>
  <c r="M114" i="12"/>
  <c r="N114" i="12"/>
  <c r="O114" i="12"/>
  <c r="P114" i="12"/>
  <c r="L115" i="12"/>
  <c r="M115" i="12"/>
  <c r="N115" i="12"/>
  <c r="O115" i="12"/>
  <c r="P115" i="12"/>
  <c r="L116" i="12"/>
  <c r="M116" i="12"/>
  <c r="N116" i="12"/>
  <c r="O116" i="12"/>
  <c r="P116" i="12"/>
  <c r="L117" i="12"/>
  <c r="M117" i="12"/>
  <c r="N117" i="12"/>
  <c r="O117" i="12"/>
  <c r="P117" i="12"/>
  <c r="L118" i="12"/>
  <c r="M118" i="12"/>
  <c r="N118" i="12"/>
  <c r="O118" i="12"/>
  <c r="P118" i="12"/>
  <c r="L119" i="12"/>
  <c r="M119" i="12"/>
  <c r="N119" i="12"/>
  <c r="O119" i="12"/>
  <c r="P119" i="12"/>
  <c r="L120" i="12"/>
  <c r="M120" i="12"/>
  <c r="N120" i="12"/>
  <c r="O120" i="12"/>
  <c r="P120" i="12"/>
  <c r="M2" i="12"/>
  <c r="N2" i="12"/>
  <c r="O2" i="12"/>
  <c r="P2" i="12"/>
  <c r="L2" i="13"/>
  <c r="L3" i="13"/>
  <c r="M3" i="13"/>
  <c r="N3" i="13"/>
  <c r="O3" i="13"/>
  <c r="P3" i="13"/>
  <c r="L4" i="13"/>
  <c r="M4" i="13"/>
  <c r="N4" i="13"/>
  <c r="O4" i="13"/>
  <c r="P4" i="13"/>
  <c r="L5" i="13"/>
  <c r="M5" i="13"/>
  <c r="N5" i="13"/>
  <c r="O5" i="13"/>
  <c r="P5" i="13"/>
  <c r="L6" i="13"/>
  <c r="M6" i="13"/>
  <c r="N6" i="13"/>
  <c r="O6" i="13"/>
  <c r="P6" i="13"/>
  <c r="L7" i="13"/>
  <c r="M7" i="13"/>
  <c r="N7" i="13"/>
  <c r="O7" i="13"/>
  <c r="P7" i="13"/>
  <c r="L8" i="13"/>
  <c r="M8" i="13"/>
  <c r="N8" i="13"/>
  <c r="O8" i="13"/>
  <c r="P8" i="13"/>
  <c r="L9" i="13"/>
  <c r="M9" i="13"/>
  <c r="N9" i="13"/>
  <c r="O9" i="13"/>
  <c r="P9" i="13"/>
  <c r="L10" i="13"/>
  <c r="M10" i="13"/>
  <c r="N10" i="13"/>
  <c r="O10" i="13"/>
  <c r="P10" i="13"/>
  <c r="L11" i="13"/>
  <c r="M11" i="13"/>
  <c r="N11" i="13"/>
  <c r="O11" i="13"/>
  <c r="P11" i="13"/>
  <c r="L12" i="13"/>
  <c r="M12" i="13"/>
  <c r="N12" i="13"/>
  <c r="O12" i="13"/>
  <c r="P12" i="13"/>
  <c r="L13" i="13"/>
  <c r="M13" i="13"/>
  <c r="N13" i="13"/>
  <c r="O13" i="13"/>
  <c r="P13" i="13"/>
  <c r="L14" i="13"/>
  <c r="M14" i="13"/>
  <c r="N14" i="13"/>
  <c r="O14" i="13"/>
  <c r="P14" i="13"/>
  <c r="L15" i="13"/>
  <c r="M15" i="13"/>
  <c r="N15" i="13"/>
  <c r="O15" i="13"/>
  <c r="P15" i="13"/>
  <c r="L16" i="13"/>
  <c r="M16" i="13"/>
  <c r="N16" i="13"/>
  <c r="O16" i="13"/>
  <c r="P16" i="13"/>
  <c r="L17" i="13"/>
  <c r="M17" i="13"/>
  <c r="N17" i="13"/>
  <c r="O17" i="13"/>
  <c r="P17" i="13"/>
  <c r="L18" i="13"/>
  <c r="M18" i="13"/>
  <c r="N18" i="13"/>
  <c r="O18" i="13"/>
  <c r="P18" i="13"/>
  <c r="L19" i="13"/>
  <c r="M19" i="13"/>
  <c r="N19" i="13"/>
  <c r="O19" i="13"/>
  <c r="P19" i="13"/>
  <c r="L20" i="13"/>
  <c r="M20" i="13"/>
  <c r="N20" i="13"/>
  <c r="O20" i="13"/>
  <c r="P20" i="13"/>
  <c r="L21" i="13"/>
  <c r="M21" i="13"/>
  <c r="N21" i="13"/>
  <c r="O21" i="13"/>
  <c r="P21" i="13"/>
  <c r="L22" i="13"/>
  <c r="M22" i="13"/>
  <c r="N22" i="13"/>
  <c r="O22" i="13"/>
  <c r="P22" i="13"/>
  <c r="L23" i="13"/>
  <c r="M23" i="13"/>
  <c r="N23" i="13"/>
  <c r="O23" i="13"/>
  <c r="P23" i="13"/>
  <c r="L24" i="13"/>
  <c r="M24" i="13"/>
  <c r="N24" i="13"/>
  <c r="O24" i="13"/>
  <c r="P24" i="13"/>
  <c r="L25" i="13"/>
  <c r="M25" i="13"/>
  <c r="N25" i="13"/>
  <c r="O25" i="13"/>
  <c r="P25" i="13"/>
  <c r="L26" i="13"/>
  <c r="M26" i="13"/>
  <c r="N26" i="13"/>
  <c r="O26" i="13"/>
  <c r="P26" i="13"/>
  <c r="L27" i="13"/>
  <c r="M27" i="13"/>
  <c r="N27" i="13"/>
  <c r="O27" i="13"/>
  <c r="P27" i="13"/>
  <c r="L28" i="13"/>
  <c r="M28" i="13"/>
  <c r="N28" i="13"/>
  <c r="O28" i="13"/>
  <c r="P28" i="13"/>
  <c r="L29" i="13"/>
  <c r="M29" i="13"/>
  <c r="N29" i="13"/>
  <c r="O29" i="13"/>
  <c r="P29" i="13"/>
  <c r="L30" i="13"/>
  <c r="M30" i="13"/>
  <c r="N30" i="13"/>
  <c r="O30" i="13"/>
  <c r="P30" i="13"/>
  <c r="L31" i="13"/>
  <c r="M31" i="13"/>
  <c r="N31" i="13"/>
  <c r="O31" i="13"/>
  <c r="P31" i="13"/>
  <c r="L32" i="13"/>
  <c r="M32" i="13"/>
  <c r="N32" i="13"/>
  <c r="O32" i="13"/>
  <c r="P32" i="13"/>
  <c r="L33" i="13"/>
  <c r="M33" i="13"/>
  <c r="N33" i="13"/>
  <c r="O33" i="13"/>
  <c r="P33" i="13"/>
  <c r="L34" i="13"/>
  <c r="M34" i="13"/>
  <c r="N34" i="13"/>
  <c r="O34" i="13"/>
  <c r="P34" i="13"/>
  <c r="L35" i="13"/>
  <c r="M35" i="13"/>
  <c r="N35" i="13"/>
  <c r="O35" i="13"/>
  <c r="P35" i="13"/>
  <c r="L36" i="13"/>
  <c r="M36" i="13"/>
  <c r="N36" i="13"/>
  <c r="O36" i="13"/>
  <c r="P36" i="13"/>
  <c r="M2" i="13"/>
  <c r="N2" i="13"/>
  <c r="O2" i="13"/>
  <c r="P2" i="13"/>
  <c r="L2" i="14"/>
  <c r="L3" i="14"/>
  <c r="M3" i="14"/>
  <c r="N3" i="14"/>
  <c r="O3" i="14"/>
  <c r="P3" i="14"/>
  <c r="L4" i="14"/>
  <c r="M4" i="14"/>
  <c r="N4" i="14"/>
  <c r="O4" i="14"/>
  <c r="P4" i="14"/>
  <c r="L5" i="14"/>
  <c r="M5" i="14"/>
  <c r="N5" i="14"/>
  <c r="O5" i="14"/>
  <c r="P5" i="14"/>
  <c r="L6" i="14"/>
  <c r="M6" i="14"/>
  <c r="N6" i="14"/>
  <c r="O6" i="14"/>
  <c r="P6" i="14"/>
  <c r="L7" i="14"/>
  <c r="M7" i="14"/>
  <c r="N7" i="14"/>
  <c r="O7" i="14"/>
  <c r="P7" i="14"/>
  <c r="L8" i="14"/>
  <c r="M8" i="14"/>
  <c r="N8" i="14"/>
  <c r="O8" i="14"/>
  <c r="P8" i="14"/>
  <c r="L9" i="14"/>
  <c r="M9" i="14"/>
  <c r="N9" i="14"/>
  <c r="O9" i="14"/>
  <c r="P9" i="14"/>
  <c r="L10" i="14"/>
  <c r="M10" i="14"/>
  <c r="N10" i="14"/>
  <c r="O10" i="14"/>
  <c r="P10" i="14"/>
  <c r="L11" i="14"/>
  <c r="M11" i="14"/>
  <c r="N11" i="14"/>
  <c r="O11" i="14"/>
  <c r="P11" i="14"/>
  <c r="L12" i="14"/>
  <c r="M12" i="14"/>
  <c r="N12" i="14"/>
  <c r="O12" i="14"/>
  <c r="P12" i="14"/>
  <c r="L13" i="14"/>
  <c r="M13" i="14"/>
  <c r="N13" i="14"/>
  <c r="O13" i="14"/>
  <c r="P13" i="14"/>
  <c r="L14" i="14"/>
  <c r="M14" i="14"/>
  <c r="N14" i="14"/>
  <c r="O14" i="14"/>
  <c r="P14" i="14"/>
  <c r="L15" i="14"/>
  <c r="M15" i="14"/>
  <c r="N15" i="14"/>
  <c r="O15" i="14"/>
  <c r="P15" i="14"/>
  <c r="L16" i="14"/>
  <c r="M16" i="14"/>
  <c r="N16" i="14"/>
  <c r="O16" i="14"/>
  <c r="P16" i="14"/>
  <c r="L17" i="14"/>
  <c r="M17" i="14"/>
  <c r="N17" i="14"/>
  <c r="O17" i="14"/>
  <c r="P17" i="14"/>
  <c r="L18" i="14"/>
  <c r="M18" i="14"/>
  <c r="N18" i="14"/>
  <c r="O18" i="14"/>
  <c r="P18" i="14"/>
  <c r="L19" i="14"/>
  <c r="M19" i="14"/>
  <c r="N19" i="14"/>
  <c r="O19" i="14"/>
  <c r="P19" i="14"/>
  <c r="L20" i="14"/>
  <c r="M20" i="14"/>
  <c r="N20" i="14"/>
  <c r="O20" i="14"/>
  <c r="P20" i="14"/>
  <c r="L21" i="14"/>
  <c r="M21" i="14"/>
  <c r="N21" i="14"/>
  <c r="O21" i="14"/>
  <c r="P21" i="14"/>
  <c r="L22" i="14"/>
  <c r="M22" i="14"/>
  <c r="N22" i="14"/>
  <c r="O22" i="14"/>
  <c r="P22" i="14"/>
  <c r="L23" i="14"/>
  <c r="M23" i="14"/>
  <c r="N23" i="14"/>
  <c r="O23" i="14"/>
  <c r="P23" i="14"/>
  <c r="L24" i="14"/>
  <c r="M24" i="14"/>
  <c r="N24" i="14"/>
  <c r="O24" i="14"/>
  <c r="P24" i="14"/>
  <c r="L25" i="14"/>
  <c r="M25" i="14"/>
  <c r="N25" i="14"/>
  <c r="O25" i="14"/>
  <c r="P25" i="14"/>
  <c r="L26" i="14"/>
  <c r="M26" i="14"/>
  <c r="N26" i="14"/>
  <c r="O26" i="14"/>
  <c r="P26" i="14"/>
  <c r="L27" i="14"/>
  <c r="M27" i="14"/>
  <c r="N27" i="14"/>
  <c r="O27" i="14"/>
  <c r="P27" i="14"/>
  <c r="L28" i="14"/>
  <c r="M28" i="14"/>
  <c r="N28" i="14"/>
  <c r="O28" i="14"/>
  <c r="P28" i="14"/>
  <c r="L29" i="14"/>
  <c r="M29" i="14"/>
  <c r="N29" i="14"/>
  <c r="O29" i="14"/>
  <c r="P29" i="14"/>
  <c r="L30" i="14"/>
  <c r="M30" i="14"/>
  <c r="N30" i="14"/>
  <c r="O30" i="14"/>
  <c r="P30" i="14"/>
  <c r="L31" i="14"/>
  <c r="M31" i="14"/>
  <c r="N31" i="14"/>
  <c r="O31" i="14"/>
  <c r="P31" i="14"/>
  <c r="M2" i="14"/>
  <c r="N2" i="14"/>
  <c r="O2" i="14"/>
  <c r="P2" i="14"/>
  <c r="L2" i="15"/>
  <c r="L3" i="15"/>
  <c r="M3" i="15"/>
  <c r="N3" i="15"/>
  <c r="O3" i="15"/>
  <c r="P3" i="15"/>
  <c r="L4" i="15"/>
  <c r="M4" i="15"/>
  <c r="N4" i="15"/>
  <c r="O4" i="15"/>
  <c r="P4" i="15"/>
  <c r="L5" i="15"/>
  <c r="M5" i="15"/>
  <c r="N5" i="15"/>
  <c r="O5" i="15"/>
  <c r="P5" i="15"/>
  <c r="L6" i="15"/>
  <c r="M6" i="15"/>
  <c r="N6" i="15"/>
  <c r="O6" i="15"/>
  <c r="P6" i="15"/>
  <c r="L7" i="15"/>
  <c r="M7" i="15"/>
  <c r="N7" i="15"/>
  <c r="O7" i="15"/>
  <c r="P7" i="15"/>
  <c r="L8" i="15"/>
  <c r="M8" i="15"/>
  <c r="N8" i="15"/>
  <c r="O8" i="15"/>
  <c r="P8" i="15"/>
  <c r="L9" i="15"/>
  <c r="M9" i="15"/>
  <c r="N9" i="15"/>
  <c r="O9" i="15"/>
  <c r="P9" i="15"/>
  <c r="L10" i="15"/>
  <c r="M10" i="15"/>
  <c r="N10" i="15"/>
  <c r="O10" i="15"/>
  <c r="P10" i="15"/>
  <c r="L11" i="15"/>
  <c r="M11" i="15"/>
  <c r="N11" i="15"/>
  <c r="O11" i="15"/>
  <c r="P11" i="15"/>
  <c r="L12" i="15"/>
  <c r="M12" i="15"/>
  <c r="N12" i="15"/>
  <c r="O12" i="15"/>
  <c r="P12" i="15"/>
  <c r="L13" i="15"/>
  <c r="M13" i="15"/>
  <c r="N13" i="15"/>
  <c r="O13" i="15"/>
  <c r="P13" i="15"/>
  <c r="L14" i="15"/>
  <c r="M14" i="15"/>
  <c r="N14" i="15"/>
  <c r="O14" i="15"/>
  <c r="P14" i="15"/>
  <c r="L15" i="15"/>
  <c r="M15" i="15"/>
  <c r="N15" i="15"/>
  <c r="O15" i="15"/>
  <c r="P15" i="15"/>
  <c r="L16" i="15"/>
  <c r="M16" i="15"/>
  <c r="N16" i="15"/>
  <c r="O16" i="15"/>
  <c r="P16" i="15"/>
  <c r="L17" i="15"/>
  <c r="M17" i="15"/>
  <c r="N17" i="15"/>
  <c r="O17" i="15"/>
  <c r="P17" i="15"/>
  <c r="L18" i="15"/>
  <c r="M18" i="15"/>
  <c r="N18" i="15"/>
  <c r="O18" i="15"/>
  <c r="P18" i="15"/>
  <c r="L19" i="15"/>
  <c r="M19" i="15"/>
  <c r="N19" i="15"/>
  <c r="O19" i="15"/>
  <c r="P19" i="15"/>
  <c r="L20" i="15"/>
  <c r="M20" i="15"/>
  <c r="N20" i="15"/>
  <c r="O20" i="15"/>
  <c r="P20" i="15"/>
  <c r="L21" i="15"/>
  <c r="M21" i="15"/>
  <c r="N21" i="15"/>
  <c r="O21" i="15"/>
  <c r="P21" i="15"/>
  <c r="L22" i="15"/>
  <c r="M22" i="15"/>
  <c r="N22" i="15"/>
  <c r="O22" i="15"/>
  <c r="P22" i="15"/>
  <c r="L23" i="15"/>
  <c r="M23" i="15"/>
  <c r="N23" i="15"/>
  <c r="O23" i="15"/>
  <c r="P23" i="15"/>
  <c r="L24" i="15"/>
  <c r="M24" i="15"/>
  <c r="N24" i="15"/>
  <c r="O24" i="15"/>
  <c r="P24" i="15"/>
  <c r="L25" i="15"/>
  <c r="M25" i="15"/>
  <c r="N25" i="15"/>
  <c r="O25" i="15"/>
  <c r="P25" i="15"/>
  <c r="L26" i="15"/>
  <c r="M26" i="15"/>
  <c r="N26" i="15"/>
  <c r="O26" i="15"/>
  <c r="P26" i="15"/>
  <c r="L27" i="15"/>
  <c r="M27" i="15"/>
  <c r="N27" i="15"/>
  <c r="O27" i="15"/>
  <c r="P27" i="15"/>
  <c r="L28" i="15"/>
  <c r="M28" i="15"/>
  <c r="N28" i="15"/>
  <c r="O28" i="15"/>
  <c r="P28" i="15"/>
  <c r="L29" i="15"/>
  <c r="M29" i="15"/>
  <c r="N29" i="15"/>
  <c r="O29" i="15"/>
  <c r="P29" i="15"/>
  <c r="L30" i="15"/>
  <c r="M30" i="15"/>
  <c r="N30" i="15"/>
  <c r="O30" i="15"/>
  <c r="P30" i="15"/>
  <c r="L31" i="15"/>
  <c r="M31" i="15"/>
  <c r="N31" i="15"/>
  <c r="O31" i="15"/>
  <c r="P31" i="15"/>
  <c r="M2" i="15"/>
  <c r="N2" i="15"/>
  <c r="O2" i="15"/>
  <c r="P2" i="15"/>
  <c r="L2" i="16"/>
  <c r="L3" i="16"/>
  <c r="M3" i="16"/>
  <c r="N3" i="16"/>
  <c r="O3" i="16"/>
  <c r="P3" i="16"/>
  <c r="L4" i="16"/>
  <c r="M4" i="16"/>
  <c r="N4" i="16"/>
  <c r="O4" i="16"/>
  <c r="P4" i="16"/>
  <c r="L5" i="16"/>
  <c r="M5" i="16"/>
  <c r="N5" i="16"/>
  <c r="O5" i="16"/>
  <c r="P5" i="16"/>
  <c r="L6" i="16"/>
  <c r="M6" i="16"/>
  <c r="N6" i="16"/>
  <c r="O6" i="16"/>
  <c r="P6" i="16"/>
  <c r="L7" i="16"/>
  <c r="M7" i="16"/>
  <c r="N7" i="16"/>
  <c r="O7" i="16"/>
  <c r="P7" i="16"/>
  <c r="L8" i="16"/>
  <c r="M8" i="16"/>
  <c r="N8" i="16"/>
  <c r="O8" i="16"/>
  <c r="P8" i="16"/>
  <c r="L9" i="16"/>
  <c r="M9" i="16"/>
  <c r="N9" i="16"/>
  <c r="O9" i="16"/>
  <c r="P9" i="16"/>
  <c r="L10" i="16"/>
  <c r="M10" i="16"/>
  <c r="N10" i="16"/>
  <c r="O10" i="16"/>
  <c r="P10" i="16"/>
  <c r="L11" i="16"/>
  <c r="M11" i="16"/>
  <c r="N11" i="16"/>
  <c r="O11" i="16"/>
  <c r="P11" i="16"/>
  <c r="L12" i="16"/>
  <c r="M12" i="16"/>
  <c r="N12" i="16"/>
  <c r="O12" i="16"/>
  <c r="P12" i="16"/>
  <c r="L13" i="16"/>
  <c r="M13" i="16"/>
  <c r="N13" i="16"/>
  <c r="O13" i="16"/>
  <c r="P13" i="16"/>
  <c r="L14" i="16"/>
  <c r="M14" i="16"/>
  <c r="N14" i="16"/>
  <c r="O14" i="16"/>
  <c r="P14" i="16"/>
  <c r="L15" i="16"/>
  <c r="M15" i="16"/>
  <c r="N15" i="16"/>
  <c r="O15" i="16"/>
  <c r="P15" i="16"/>
  <c r="L16" i="16"/>
  <c r="M16" i="16"/>
  <c r="N16" i="16"/>
  <c r="O16" i="16"/>
  <c r="P16" i="16"/>
  <c r="L17" i="16"/>
  <c r="M17" i="16"/>
  <c r="N17" i="16"/>
  <c r="O17" i="16"/>
  <c r="P17" i="16"/>
  <c r="L18" i="16"/>
  <c r="M18" i="16"/>
  <c r="N18" i="16"/>
  <c r="O18" i="16"/>
  <c r="P18" i="16"/>
  <c r="L19" i="16"/>
  <c r="M19" i="16"/>
  <c r="N19" i="16"/>
  <c r="O19" i="16"/>
  <c r="P19" i="16"/>
  <c r="L20" i="16"/>
  <c r="M20" i="16"/>
  <c r="N20" i="16"/>
  <c r="O20" i="16"/>
  <c r="P20" i="16"/>
  <c r="L21" i="16"/>
  <c r="M21" i="16"/>
  <c r="N21" i="16"/>
  <c r="O21" i="16"/>
  <c r="P21" i="16"/>
  <c r="L22" i="16"/>
  <c r="M22" i="16"/>
  <c r="N22" i="16"/>
  <c r="O22" i="16"/>
  <c r="P22" i="16"/>
  <c r="L23" i="16"/>
  <c r="M23" i="16"/>
  <c r="N23" i="16"/>
  <c r="O23" i="16"/>
  <c r="P23" i="16"/>
  <c r="L24" i="16"/>
  <c r="M24" i="16"/>
  <c r="N24" i="16"/>
  <c r="O24" i="16"/>
  <c r="P24" i="16"/>
  <c r="L25" i="16"/>
  <c r="M25" i="16"/>
  <c r="N25" i="16"/>
  <c r="O25" i="16"/>
  <c r="P25" i="16"/>
  <c r="L26" i="16"/>
  <c r="M26" i="16"/>
  <c r="N26" i="16"/>
  <c r="O26" i="16"/>
  <c r="P26" i="16"/>
  <c r="L27" i="16"/>
  <c r="M27" i="16"/>
  <c r="N27" i="16"/>
  <c r="O27" i="16"/>
  <c r="P27" i="16"/>
  <c r="L28" i="16"/>
  <c r="M28" i="16"/>
  <c r="N28" i="16"/>
  <c r="O28" i="16"/>
  <c r="P28" i="16"/>
  <c r="L29" i="16"/>
  <c r="M29" i="16"/>
  <c r="N29" i="16"/>
  <c r="O29" i="16"/>
  <c r="P29" i="16"/>
  <c r="L30" i="16"/>
  <c r="M30" i="16"/>
  <c r="N30" i="16"/>
  <c r="O30" i="16"/>
  <c r="P30" i="16"/>
  <c r="L31" i="16"/>
  <c r="M31" i="16"/>
  <c r="N31" i="16"/>
  <c r="O31" i="16"/>
  <c r="P31" i="16"/>
  <c r="M2" i="16"/>
  <c r="N2" i="16"/>
  <c r="O2" i="16"/>
  <c r="P2" i="16"/>
  <c r="L2" i="17"/>
  <c r="L3" i="17"/>
  <c r="M3" i="17"/>
  <c r="N3" i="17"/>
  <c r="O3" i="17"/>
  <c r="P3" i="17"/>
  <c r="L4" i="17"/>
  <c r="M4" i="17"/>
  <c r="N4" i="17"/>
  <c r="O4" i="17"/>
  <c r="P4" i="17"/>
  <c r="L5" i="17"/>
  <c r="M5" i="17"/>
  <c r="N5" i="17"/>
  <c r="O5" i="17"/>
  <c r="P5" i="17"/>
  <c r="L6" i="17"/>
  <c r="M6" i="17"/>
  <c r="N6" i="17"/>
  <c r="O6" i="17"/>
  <c r="P6" i="17"/>
  <c r="L7" i="17"/>
  <c r="M7" i="17"/>
  <c r="N7" i="17"/>
  <c r="O7" i="17"/>
  <c r="P7" i="17"/>
  <c r="L8" i="17"/>
  <c r="M8" i="17"/>
  <c r="N8" i="17"/>
  <c r="O8" i="17"/>
  <c r="P8" i="17"/>
  <c r="L9" i="17"/>
  <c r="M9" i="17"/>
  <c r="N9" i="17"/>
  <c r="O9" i="17"/>
  <c r="P9" i="17"/>
  <c r="L10" i="17"/>
  <c r="M10" i="17"/>
  <c r="N10" i="17"/>
  <c r="O10" i="17"/>
  <c r="P10" i="17"/>
  <c r="L11" i="17"/>
  <c r="M11" i="17"/>
  <c r="N11" i="17"/>
  <c r="O11" i="17"/>
  <c r="P11" i="17"/>
  <c r="L12" i="17"/>
  <c r="M12" i="17"/>
  <c r="N12" i="17"/>
  <c r="O12" i="17"/>
  <c r="P12" i="17"/>
  <c r="L13" i="17"/>
  <c r="M13" i="17"/>
  <c r="N13" i="17"/>
  <c r="O13" i="17"/>
  <c r="P13" i="17"/>
  <c r="L14" i="17"/>
  <c r="M14" i="17"/>
  <c r="N14" i="17"/>
  <c r="O14" i="17"/>
  <c r="P14" i="17"/>
  <c r="L15" i="17"/>
  <c r="M15" i="17"/>
  <c r="N15" i="17"/>
  <c r="O15" i="17"/>
  <c r="P15" i="17"/>
  <c r="L16" i="17"/>
  <c r="M16" i="17"/>
  <c r="N16" i="17"/>
  <c r="O16" i="17"/>
  <c r="P16" i="17"/>
  <c r="L17" i="17"/>
  <c r="M17" i="17"/>
  <c r="N17" i="17"/>
  <c r="O17" i="17"/>
  <c r="P17" i="17"/>
  <c r="L18" i="17"/>
  <c r="M18" i="17"/>
  <c r="N18" i="17"/>
  <c r="O18" i="17"/>
  <c r="P18" i="17"/>
  <c r="L19" i="17"/>
  <c r="M19" i="17"/>
  <c r="N19" i="17"/>
  <c r="O19" i="17"/>
  <c r="P19" i="17"/>
  <c r="L20" i="17"/>
  <c r="M20" i="17"/>
  <c r="N20" i="17"/>
  <c r="O20" i="17"/>
  <c r="P20" i="17"/>
  <c r="L21" i="17"/>
  <c r="M21" i="17"/>
  <c r="N21" i="17"/>
  <c r="O21" i="17"/>
  <c r="P21" i="17"/>
  <c r="L22" i="17"/>
  <c r="M22" i="17"/>
  <c r="N22" i="17"/>
  <c r="O22" i="17"/>
  <c r="P22" i="17"/>
  <c r="L23" i="17"/>
  <c r="M23" i="17"/>
  <c r="N23" i="17"/>
  <c r="O23" i="17"/>
  <c r="P23" i="17"/>
  <c r="L24" i="17"/>
  <c r="M24" i="17"/>
  <c r="N24" i="17"/>
  <c r="O24" i="17"/>
  <c r="P24" i="17"/>
  <c r="L25" i="17"/>
  <c r="M25" i="17"/>
  <c r="N25" i="17"/>
  <c r="O25" i="17"/>
  <c r="P25" i="17"/>
  <c r="L26" i="17"/>
  <c r="M26" i="17"/>
  <c r="N26" i="17"/>
  <c r="O26" i="17"/>
  <c r="P26" i="17"/>
  <c r="L27" i="17"/>
  <c r="M27" i="17"/>
  <c r="N27" i="17"/>
  <c r="O27" i="17"/>
  <c r="P27" i="17"/>
  <c r="L28" i="17"/>
  <c r="M28" i="17"/>
  <c r="N28" i="17"/>
  <c r="O28" i="17"/>
  <c r="P28" i="17"/>
  <c r="L29" i="17"/>
  <c r="M29" i="17"/>
  <c r="N29" i="17"/>
  <c r="O29" i="17"/>
  <c r="P29" i="17"/>
  <c r="L30" i="17"/>
  <c r="M30" i="17"/>
  <c r="N30" i="17"/>
  <c r="O30" i="17"/>
  <c r="P30" i="17"/>
  <c r="L31" i="17"/>
  <c r="M31" i="17"/>
  <c r="N31" i="17"/>
  <c r="O31" i="17"/>
  <c r="P31" i="17"/>
  <c r="L32" i="17"/>
  <c r="M32" i="17"/>
  <c r="N32" i="17"/>
  <c r="O32" i="17"/>
  <c r="P32" i="17"/>
  <c r="M2" i="17"/>
  <c r="N2" i="17"/>
  <c r="O2" i="17"/>
  <c r="P2" i="17"/>
  <c r="L2" i="18"/>
  <c r="L3" i="18"/>
  <c r="M3" i="18"/>
  <c r="N3" i="18"/>
  <c r="O3" i="18"/>
  <c r="P3" i="18"/>
  <c r="L4" i="18"/>
  <c r="M4" i="18"/>
  <c r="N4" i="18"/>
  <c r="O4" i="18"/>
  <c r="P4" i="18"/>
  <c r="L5" i="18"/>
  <c r="M5" i="18"/>
  <c r="N5" i="18"/>
  <c r="O5" i="18"/>
  <c r="P5" i="18"/>
  <c r="L6" i="18"/>
  <c r="M6" i="18"/>
  <c r="N6" i="18"/>
  <c r="O6" i="18"/>
  <c r="P6" i="18"/>
  <c r="L7" i="18"/>
  <c r="M7" i="18"/>
  <c r="N7" i="18"/>
  <c r="O7" i="18"/>
  <c r="P7" i="18"/>
  <c r="L8" i="18"/>
  <c r="M8" i="18"/>
  <c r="N8" i="18"/>
  <c r="O8" i="18"/>
  <c r="P8" i="18"/>
  <c r="L9" i="18"/>
  <c r="M9" i="18"/>
  <c r="N9" i="18"/>
  <c r="O9" i="18"/>
  <c r="P9" i="18"/>
  <c r="L10" i="18"/>
  <c r="M10" i="18"/>
  <c r="N10" i="18"/>
  <c r="O10" i="18"/>
  <c r="P10" i="18"/>
  <c r="L11" i="18"/>
  <c r="M11" i="18"/>
  <c r="N11" i="18"/>
  <c r="O11" i="18"/>
  <c r="P11" i="18"/>
  <c r="L12" i="18"/>
  <c r="M12" i="18"/>
  <c r="N12" i="18"/>
  <c r="O12" i="18"/>
  <c r="P12" i="18"/>
  <c r="L13" i="18"/>
  <c r="M13" i="18"/>
  <c r="N13" i="18"/>
  <c r="O13" i="18"/>
  <c r="P13" i="18"/>
  <c r="L14" i="18"/>
  <c r="M14" i="18"/>
  <c r="N14" i="18"/>
  <c r="O14" i="18"/>
  <c r="P14" i="18"/>
  <c r="L15" i="18"/>
  <c r="M15" i="18"/>
  <c r="N15" i="18"/>
  <c r="O15" i="18"/>
  <c r="P15" i="18"/>
  <c r="L16" i="18"/>
  <c r="M16" i="18"/>
  <c r="N16" i="18"/>
  <c r="O16" i="18"/>
  <c r="P16" i="18"/>
  <c r="L17" i="18"/>
  <c r="M17" i="18"/>
  <c r="N17" i="18"/>
  <c r="O17" i="18"/>
  <c r="P17" i="18"/>
  <c r="L18" i="18"/>
  <c r="M18" i="18"/>
  <c r="N18" i="18"/>
  <c r="O18" i="18"/>
  <c r="P18" i="18"/>
  <c r="L19" i="18"/>
  <c r="M19" i="18"/>
  <c r="N19" i="18"/>
  <c r="O19" i="18"/>
  <c r="P19" i="18"/>
  <c r="L20" i="18"/>
  <c r="M20" i="18"/>
  <c r="N20" i="18"/>
  <c r="O20" i="18"/>
  <c r="P20" i="18"/>
  <c r="L21" i="18"/>
  <c r="M21" i="18"/>
  <c r="N21" i="18"/>
  <c r="O21" i="18"/>
  <c r="P21" i="18"/>
  <c r="L22" i="18"/>
  <c r="M22" i="18"/>
  <c r="N22" i="18"/>
  <c r="O22" i="18"/>
  <c r="P22" i="18"/>
  <c r="L23" i="18"/>
  <c r="M23" i="18"/>
  <c r="N23" i="18"/>
  <c r="O23" i="18"/>
  <c r="P23" i="18"/>
  <c r="L24" i="18"/>
  <c r="M24" i="18"/>
  <c r="N24" i="18"/>
  <c r="O24" i="18"/>
  <c r="P24" i="18"/>
  <c r="L25" i="18"/>
  <c r="M25" i="18"/>
  <c r="N25" i="18"/>
  <c r="O25" i="18"/>
  <c r="P25" i="18"/>
  <c r="L26" i="18"/>
  <c r="M26" i="18"/>
  <c r="N26" i="18"/>
  <c r="O26" i="18"/>
  <c r="P26" i="18"/>
  <c r="L27" i="18"/>
  <c r="M27" i="18"/>
  <c r="N27" i="18"/>
  <c r="O27" i="18"/>
  <c r="P27" i="18"/>
  <c r="L28" i="18"/>
  <c r="M28" i="18"/>
  <c r="N28" i="18"/>
  <c r="O28" i="18"/>
  <c r="P28" i="18"/>
  <c r="L29" i="18"/>
  <c r="M29" i="18"/>
  <c r="N29" i="18"/>
  <c r="O29" i="18"/>
  <c r="P29" i="18"/>
  <c r="L30" i="18"/>
  <c r="M30" i="18"/>
  <c r="N30" i="18"/>
  <c r="O30" i="18"/>
  <c r="P30" i="18"/>
  <c r="L31" i="18"/>
  <c r="M31" i="18"/>
  <c r="N31" i="18"/>
  <c r="O31" i="18"/>
  <c r="P31" i="18"/>
  <c r="M2" i="18"/>
  <c r="N2" i="18"/>
  <c r="O2" i="18"/>
  <c r="P2" i="18"/>
  <c r="L2" i="11"/>
  <c r="L3" i="11"/>
  <c r="M3" i="11"/>
  <c r="N3" i="11"/>
  <c r="O3" i="11"/>
  <c r="P3" i="11"/>
  <c r="L4" i="11"/>
  <c r="M4" i="11"/>
  <c r="N4" i="11"/>
  <c r="O4" i="11"/>
  <c r="P4" i="11"/>
  <c r="L5" i="11"/>
  <c r="M5" i="11"/>
  <c r="N5" i="11"/>
  <c r="O5" i="11"/>
  <c r="P5" i="11"/>
  <c r="L6" i="11"/>
  <c r="M6" i="11"/>
  <c r="N6" i="11"/>
  <c r="O6" i="11"/>
  <c r="P6" i="11"/>
  <c r="L7" i="11"/>
  <c r="M7" i="11"/>
  <c r="N7" i="11"/>
  <c r="O7" i="11"/>
  <c r="P7" i="11"/>
  <c r="L8" i="11"/>
  <c r="M8" i="11"/>
  <c r="N8" i="11"/>
  <c r="O8" i="11"/>
  <c r="P8" i="11"/>
  <c r="L9" i="11"/>
  <c r="M9" i="11"/>
  <c r="N9" i="11"/>
  <c r="O9" i="11"/>
  <c r="P9" i="11"/>
  <c r="L10" i="11"/>
  <c r="M10" i="11"/>
  <c r="N10" i="11"/>
  <c r="O10" i="11"/>
  <c r="P10" i="11"/>
  <c r="L11" i="11"/>
  <c r="M11" i="11"/>
  <c r="N11" i="11"/>
  <c r="O11" i="11"/>
  <c r="P11" i="11"/>
  <c r="L12" i="11"/>
  <c r="M12" i="11"/>
  <c r="N12" i="11"/>
  <c r="O12" i="11"/>
  <c r="P12" i="11"/>
  <c r="L13" i="11"/>
  <c r="M13" i="11"/>
  <c r="N13" i="11"/>
  <c r="O13" i="11"/>
  <c r="P13" i="11"/>
  <c r="L14" i="11"/>
  <c r="M14" i="11"/>
  <c r="N14" i="11"/>
  <c r="O14" i="11"/>
  <c r="P14" i="11"/>
  <c r="L15" i="11"/>
  <c r="M15" i="11"/>
  <c r="N15" i="11"/>
  <c r="O15" i="11"/>
  <c r="P15" i="11"/>
  <c r="L16" i="11"/>
  <c r="M16" i="11"/>
  <c r="N16" i="11"/>
  <c r="O16" i="11"/>
  <c r="P16" i="11"/>
  <c r="L17" i="11"/>
  <c r="M17" i="11"/>
  <c r="N17" i="11"/>
  <c r="O17" i="11"/>
  <c r="P17" i="11"/>
  <c r="L18" i="11"/>
  <c r="M18" i="11"/>
  <c r="N18" i="11"/>
  <c r="O18" i="11"/>
  <c r="P18" i="11"/>
  <c r="L19" i="11"/>
  <c r="M19" i="11"/>
  <c r="N19" i="11"/>
  <c r="O19" i="11"/>
  <c r="P19" i="11"/>
  <c r="L20" i="11"/>
  <c r="M20" i="11"/>
  <c r="N20" i="11"/>
  <c r="O20" i="11"/>
  <c r="P20" i="11"/>
  <c r="L21" i="11"/>
  <c r="M21" i="11"/>
  <c r="N21" i="11"/>
  <c r="O21" i="11"/>
  <c r="P21" i="11"/>
  <c r="L22" i="11"/>
  <c r="M22" i="11"/>
  <c r="N22" i="11"/>
  <c r="O22" i="11"/>
  <c r="P22" i="11"/>
  <c r="L23" i="11"/>
  <c r="M23" i="11"/>
  <c r="N23" i="11"/>
  <c r="O23" i="11"/>
  <c r="P23" i="11"/>
  <c r="L24" i="11"/>
  <c r="M24" i="11"/>
  <c r="N24" i="11"/>
  <c r="O24" i="11"/>
  <c r="P24" i="11"/>
  <c r="L25" i="11"/>
  <c r="M25" i="11"/>
  <c r="N25" i="11"/>
  <c r="O25" i="11"/>
  <c r="P25" i="11"/>
  <c r="L26" i="11"/>
  <c r="M26" i="11"/>
  <c r="N26" i="11"/>
  <c r="O26" i="11"/>
  <c r="P26" i="11"/>
  <c r="L27" i="11"/>
  <c r="M27" i="11"/>
  <c r="N27" i="11"/>
  <c r="O27" i="11"/>
  <c r="P27" i="11"/>
  <c r="L28" i="11"/>
  <c r="M28" i="11"/>
  <c r="N28" i="11"/>
  <c r="O28" i="11"/>
  <c r="P28" i="11"/>
  <c r="L29" i="11"/>
  <c r="M29" i="11"/>
  <c r="N29" i="11"/>
  <c r="O29" i="11"/>
  <c r="P29" i="11"/>
  <c r="L30" i="11"/>
  <c r="M30" i="11"/>
  <c r="N30" i="11"/>
  <c r="O30" i="11"/>
  <c r="P30" i="11"/>
  <c r="L31" i="11"/>
  <c r="M31" i="11"/>
  <c r="N31" i="11"/>
  <c r="O31" i="11"/>
  <c r="P31" i="11"/>
  <c r="M2" i="11"/>
  <c r="N2" i="11"/>
  <c r="O2" i="11"/>
  <c r="P2" i="11"/>
  <c r="L2" i="19"/>
  <c r="L10" i="19"/>
  <c r="M10" i="19"/>
  <c r="N10" i="19"/>
  <c r="O10" i="19"/>
  <c r="P10" i="19"/>
  <c r="L11" i="19"/>
  <c r="M11" i="19"/>
  <c r="N11" i="19"/>
  <c r="O11" i="19"/>
  <c r="P11" i="19"/>
  <c r="L12" i="19"/>
  <c r="M12" i="19"/>
  <c r="N12" i="19"/>
  <c r="O12" i="19"/>
  <c r="P12" i="19"/>
  <c r="L13" i="19"/>
  <c r="M13" i="19"/>
  <c r="N13" i="19"/>
  <c r="O13" i="19"/>
  <c r="P13" i="19"/>
  <c r="L14" i="19"/>
  <c r="M14" i="19"/>
  <c r="N14" i="19"/>
  <c r="O14" i="19"/>
  <c r="P14" i="19"/>
  <c r="L15" i="19"/>
  <c r="M15" i="19"/>
  <c r="N15" i="19"/>
  <c r="O15" i="19"/>
  <c r="P15" i="19"/>
  <c r="L16" i="19"/>
  <c r="M16" i="19"/>
  <c r="N16" i="19"/>
  <c r="O16" i="19"/>
  <c r="P16" i="19"/>
  <c r="L17" i="19"/>
  <c r="M17" i="19"/>
  <c r="N17" i="19"/>
  <c r="O17" i="19"/>
  <c r="P17" i="19"/>
  <c r="L18" i="19"/>
  <c r="M18" i="19"/>
  <c r="N18" i="19"/>
  <c r="O18" i="19"/>
  <c r="P18" i="19"/>
  <c r="L19" i="19"/>
  <c r="M19" i="19"/>
  <c r="N19" i="19"/>
  <c r="O19" i="19"/>
  <c r="P19" i="19"/>
  <c r="L20" i="19"/>
  <c r="M20" i="19"/>
  <c r="N20" i="19"/>
  <c r="O20" i="19"/>
  <c r="P20" i="19"/>
  <c r="L21" i="19"/>
  <c r="M21" i="19"/>
  <c r="N21" i="19"/>
  <c r="O21" i="19"/>
  <c r="P21" i="19"/>
  <c r="L22" i="19"/>
  <c r="M22" i="19"/>
  <c r="N22" i="19"/>
  <c r="O22" i="19"/>
  <c r="P22" i="19"/>
  <c r="L23" i="19"/>
  <c r="M23" i="19"/>
  <c r="N23" i="19"/>
  <c r="O23" i="19"/>
  <c r="P23" i="19"/>
  <c r="L24" i="19"/>
  <c r="M24" i="19"/>
  <c r="N24" i="19"/>
  <c r="O24" i="19"/>
  <c r="P24" i="19"/>
  <c r="L25" i="19"/>
  <c r="M25" i="19"/>
  <c r="N25" i="19"/>
  <c r="O25" i="19"/>
  <c r="P25" i="19"/>
  <c r="L26" i="19"/>
  <c r="M26" i="19"/>
  <c r="N26" i="19"/>
  <c r="O26" i="19"/>
  <c r="P26" i="19"/>
  <c r="L27" i="19"/>
  <c r="M27" i="19"/>
  <c r="N27" i="19"/>
  <c r="O27" i="19"/>
  <c r="P27" i="19"/>
  <c r="L28" i="19"/>
  <c r="M28" i="19"/>
  <c r="N28" i="19"/>
  <c r="O28" i="19"/>
  <c r="P28" i="19"/>
  <c r="L29" i="19"/>
  <c r="M29" i="19"/>
  <c r="N29" i="19"/>
  <c r="O29" i="19"/>
  <c r="P29" i="19"/>
  <c r="L30" i="19"/>
  <c r="M30" i="19"/>
  <c r="N30" i="19"/>
  <c r="O30" i="19"/>
  <c r="P30" i="19"/>
  <c r="L31" i="19"/>
  <c r="M31" i="19"/>
  <c r="N31" i="19"/>
  <c r="O31" i="19"/>
  <c r="P31" i="19"/>
  <c r="L3" i="19"/>
  <c r="M3" i="19"/>
  <c r="N3" i="19"/>
  <c r="O3" i="19"/>
  <c r="P3" i="19"/>
  <c r="L4" i="19"/>
  <c r="M4" i="19"/>
  <c r="N4" i="19"/>
  <c r="O4" i="19"/>
  <c r="P4" i="19"/>
  <c r="L5" i="19"/>
  <c r="M5" i="19"/>
  <c r="N5" i="19"/>
  <c r="O5" i="19"/>
  <c r="P5" i="19"/>
  <c r="L6" i="19"/>
  <c r="M6" i="19"/>
  <c r="N6" i="19"/>
  <c r="O6" i="19"/>
  <c r="P6" i="19"/>
  <c r="L7" i="19"/>
  <c r="M7" i="19"/>
  <c r="N7" i="19"/>
  <c r="O7" i="19"/>
  <c r="P7" i="19"/>
  <c r="L8" i="19"/>
  <c r="M8" i="19"/>
  <c r="N8" i="19"/>
  <c r="O8" i="19"/>
  <c r="P8" i="19"/>
  <c r="L9" i="19"/>
  <c r="M9" i="19"/>
  <c r="N9" i="19"/>
  <c r="O9" i="19"/>
  <c r="P9" i="19"/>
  <c r="M2" i="19"/>
  <c r="N2" i="19"/>
  <c r="O2" i="19"/>
  <c r="P2" i="19"/>
  <c r="L2" i="20"/>
  <c r="L3" i="20"/>
  <c r="M3" i="20"/>
  <c r="N3" i="20"/>
  <c r="O3" i="20"/>
  <c r="P3" i="20"/>
  <c r="L4" i="20"/>
  <c r="M4" i="20"/>
  <c r="N4" i="20"/>
  <c r="O4" i="20"/>
  <c r="P4" i="20"/>
  <c r="L5" i="20"/>
  <c r="M5" i="20"/>
  <c r="N5" i="20"/>
  <c r="O5" i="20"/>
  <c r="P5" i="20"/>
  <c r="L6" i="20"/>
  <c r="M6" i="20"/>
  <c r="N6" i="20"/>
  <c r="O6" i="20"/>
  <c r="P6" i="20"/>
  <c r="L7" i="20"/>
  <c r="M7" i="20"/>
  <c r="N7" i="20"/>
  <c r="O7" i="20"/>
  <c r="P7" i="20"/>
  <c r="L8" i="20"/>
  <c r="M8" i="20"/>
  <c r="N8" i="20"/>
  <c r="O8" i="20"/>
  <c r="P8" i="20"/>
  <c r="L9" i="20"/>
  <c r="M9" i="20"/>
  <c r="N9" i="20"/>
  <c r="O9" i="20"/>
  <c r="P9" i="20"/>
  <c r="L10" i="20"/>
  <c r="M10" i="20"/>
  <c r="N10" i="20"/>
  <c r="O10" i="20"/>
  <c r="P10" i="20"/>
  <c r="L11" i="20"/>
  <c r="M11" i="20"/>
  <c r="N11" i="20"/>
  <c r="O11" i="20"/>
  <c r="P11" i="20"/>
  <c r="L12" i="20"/>
  <c r="M12" i="20"/>
  <c r="N12" i="20"/>
  <c r="O12" i="20"/>
  <c r="P12" i="20"/>
  <c r="L13" i="20"/>
  <c r="M13" i="20"/>
  <c r="N13" i="20"/>
  <c r="O13" i="20"/>
  <c r="P13" i="20"/>
  <c r="L14" i="20"/>
  <c r="M14" i="20"/>
  <c r="N14" i="20"/>
  <c r="O14" i="20"/>
  <c r="P14" i="20"/>
  <c r="L15" i="20"/>
  <c r="M15" i="20"/>
  <c r="N15" i="20"/>
  <c r="O15" i="20"/>
  <c r="P15" i="20"/>
  <c r="L16" i="20"/>
  <c r="M16" i="20"/>
  <c r="N16" i="20"/>
  <c r="O16" i="20"/>
  <c r="P16" i="20"/>
  <c r="L17" i="20"/>
  <c r="M17" i="20"/>
  <c r="N17" i="20"/>
  <c r="O17" i="20"/>
  <c r="P17" i="20"/>
  <c r="L18" i="20"/>
  <c r="M18" i="20"/>
  <c r="N18" i="20"/>
  <c r="O18" i="20"/>
  <c r="P18" i="20"/>
  <c r="L19" i="20"/>
  <c r="M19" i="20"/>
  <c r="N19" i="20"/>
  <c r="O19" i="20"/>
  <c r="P19" i="20"/>
  <c r="L20" i="20"/>
  <c r="M20" i="20"/>
  <c r="N20" i="20"/>
  <c r="O20" i="20"/>
  <c r="P20" i="20"/>
  <c r="L21" i="20"/>
  <c r="M21" i="20"/>
  <c r="N21" i="20"/>
  <c r="O21" i="20"/>
  <c r="P21" i="20"/>
  <c r="L22" i="20"/>
  <c r="M22" i="20"/>
  <c r="N22" i="20"/>
  <c r="O22" i="20"/>
  <c r="P22" i="20"/>
  <c r="L23" i="20"/>
  <c r="M23" i="20"/>
  <c r="N23" i="20"/>
  <c r="O23" i="20"/>
  <c r="P23" i="20"/>
  <c r="L24" i="20"/>
  <c r="M24" i="20"/>
  <c r="N24" i="20"/>
  <c r="O24" i="20"/>
  <c r="P24" i="20"/>
  <c r="L25" i="20"/>
  <c r="M25" i="20"/>
  <c r="N25" i="20"/>
  <c r="O25" i="20"/>
  <c r="P25" i="20"/>
  <c r="L26" i="20"/>
  <c r="M26" i="20"/>
  <c r="N26" i="20"/>
  <c r="O26" i="20"/>
  <c r="P26" i="20"/>
  <c r="L27" i="20"/>
  <c r="M27" i="20"/>
  <c r="N27" i="20"/>
  <c r="O27" i="20"/>
  <c r="P27" i="20"/>
  <c r="L28" i="20"/>
  <c r="M28" i="20"/>
  <c r="N28" i="20"/>
  <c r="O28" i="20"/>
  <c r="P28" i="20"/>
  <c r="L29" i="20"/>
  <c r="M29" i="20"/>
  <c r="N29" i="20"/>
  <c r="O29" i="20"/>
  <c r="P29" i="20"/>
  <c r="L30" i="20"/>
  <c r="M30" i="20"/>
  <c r="N30" i="20"/>
  <c r="O30" i="20"/>
  <c r="P30" i="20"/>
  <c r="L31" i="20"/>
  <c r="M31" i="20"/>
  <c r="N31" i="20"/>
  <c r="O31" i="20"/>
  <c r="P31" i="20"/>
  <c r="M2" i="20"/>
  <c r="N2" i="20"/>
  <c r="O2" i="20"/>
  <c r="P2" i="20"/>
  <c r="L2" i="21"/>
  <c r="L3" i="21"/>
  <c r="M3" i="21"/>
  <c r="N3" i="21"/>
  <c r="O3" i="21"/>
  <c r="P3" i="21"/>
  <c r="L4" i="21"/>
  <c r="M4" i="21"/>
  <c r="N4" i="21"/>
  <c r="O4" i="21"/>
  <c r="P4" i="21"/>
  <c r="L5" i="21"/>
  <c r="M5" i="21"/>
  <c r="N5" i="21"/>
  <c r="O5" i="21"/>
  <c r="P5" i="21"/>
  <c r="L6" i="21"/>
  <c r="M6" i="21"/>
  <c r="N6" i="21"/>
  <c r="O6" i="21"/>
  <c r="P6" i="21"/>
  <c r="L7" i="21"/>
  <c r="M7" i="21"/>
  <c r="N7" i="21"/>
  <c r="O7" i="21"/>
  <c r="P7" i="21"/>
  <c r="L8" i="21"/>
  <c r="M8" i="21"/>
  <c r="N8" i="21"/>
  <c r="O8" i="21"/>
  <c r="P8" i="21"/>
  <c r="L9" i="21"/>
  <c r="M9" i="21"/>
  <c r="N9" i="21"/>
  <c r="O9" i="21"/>
  <c r="P9" i="21"/>
  <c r="L10" i="21"/>
  <c r="M10" i="21"/>
  <c r="N10" i="21"/>
  <c r="O10" i="21"/>
  <c r="P10" i="21"/>
  <c r="L11" i="21"/>
  <c r="M11" i="21"/>
  <c r="N11" i="21"/>
  <c r="O11" i="21"/>
  <c r="P11" i="21"/>
  <c r="L12" i="21"/>
  <c r="M12" i="21"/>
  <c r="N12" i="21"/>
  <c r="O12" i="21"/>
  <c r="P12" i="21"/>
  <c r="L13" i="21"/>
  <c r="M13" i="21"/>
  <c r="N13" i="21"/>
  <c r="O13" i="21"/>
  <c r="P13" i="21"/>
  <c r="L14" i="21"/>
  <c r="M14" i="21"/>
  <c r="N14" i="21"/>
  <c r="O14" i="21"/>
  <c r="P14" i="21"/>
  <c r="L15" i="21"/>
  <c r="M15" i="21"/>
  <c r="N15" i="21"/>
  <c r="O15" i="21"/>
  <c r="P15" i="21"/>
  <c r="L16" i="21"/>
  <c r="M16" i="21"/>
  <c r="N16" i="21"/>
  <c r="O16" i="21"/>
  <c r="P16" i="21"/>
  <c r="L17" i="21"/>
  <c r="M17" i="21"/>
  <c r="N17" i="21"/>
  <c r="O17" i="21"/>
  <c r="P17" i="21"/>
  <c r="L18" i="21"/>
  <c r="M18" i="21"/>
  <c r="N18" i="21"/>
  <c r="O18" i="21"/>
  <c r="P18" i="21"/>
  <c r="L19" i="21"/>
  <c r="M19" i="21"/>
  <c r="N19" i="21"/>
  <c r="O19" i="21"/>
  <c r="P19" i="21"/>
  <c r="L20" i="21"/>
  <c r="M20" i="21"/>
  <c r="N20" i="21"/>
  <c r="O20" i="21"/>
  <c r="P20" i="21"/>
  <c r="L21" i="21"/>
  <c r="M21" i="21"/>
  <c r="N21" i="21"/>
  <c r="O21" i="21"/>
  <c r="P21" i="21"/>
  <c r="L22" i="21"/>
  <c r="M22" i="21"/>
  <c r="N22" i="21"/>
  <c r="O22" i="21"/>
  <c r="P22" i="21"/>
  <c r="L23" i="21"/>
  <c r="M23" i="21"/>
  <c r="N23" i="21"/>
  <c r="O23" i="21"/>
  <c r="P23" i="21"/>
  <c r="L24" i="21"/>
  <c r="M24" i="21"/>
  <c r="N24" i="21"/>
  <c r="O24" i="21"/>
  <c r="P24" i="21"/>
  <c r="L25" i="21"/>
  <c r="M25" i="21"/>
  <c r="N25" i="21"/>
  <c r="O25" i="21"/>
  <c r="P25" i="21"/>
  <c r="L26" i="21"/>
  <c r="M26" i="21"/>
  <c r="N26" i="21"/>
  <c r="O26" i="21"/>
  <c r="P26" i="21"/>
  <c r="L27" i="21"/>
  <c r="M27" i="21"/>
  <c r="N27" i="21"/>
  <c r="O27" i="21"/>
  <c r="P27" i="21"/>
  <c r="L28" i="21"/>
  <c r="M28" i="21"/>
  <c r="N28" i="21"/>
  <c r="O28" i="21"/>
  <c r="P28" i="21"/>
  <c r="L29" i="21"/>
  <c r="M29" i="21"/>
  <c r="N29" i="21"/>
  <c r="O29" i="21"/>
  <c r="P29" i="21"/>
  <c r="L30" i="21"/>
  <c r="M30" i="21"/>
  <c r="N30" i="21"/>
  <c r="O30" i="21"/>
  <c r="P30" i="21"/>
  <c r="L31" i="21"/>
  <c r="M31" i="21"/>
  <c r="N31" i="21"/>
  <c r="O31" i="21"/>
  <c r="P31" i="21"/>
  <c r="M2" i="21"/>
  <c r="N2" i="21"/>
  <c r="O2" i="21"/>
  <c r="P2" i="21"/>
  <c r="L2" i="22"/>
  <c r="L3" i="22"/>
  <c r="M3" i="22"/>
  <c r="N3" i="22"/>
  <c r="O3" i="22"/>
  <c r="P3" i="22"/>
  <c r="L4" i="22"/>
  <c r="M4" i="22"/>
  <c r="N4" i="22"/>
  <c r="O4" i="22"/>
  <c r="P4" i="22"/>
  <c r="L5" i="22"/>
  <c r="M5" i="22"/>
  <c r="N5" i="22"/>
  <c r="O5" i="22"/>
  <c r="P5" i="22"/>
  <c r="L6" i="22"/>
  <c r="M6" i="22"/>
  <c r="N6" i="22"/>
  <c r="O6" i="22"/>
  <c r="P6" i="22"/>
  <c r="L7" i="22"/>
  <c r="M7" i="22"/>
  <c r="N7" i="22"/>
  <c r="O7" i="22"/>
  <c r="P7" i="22"/>
  <c r="L8" i="22"/>
  <c r="M8" i="22"/>
  <c r="N8" i="22"/>
  <c r="O8" i="22"/>
  <c r="P8" i="22"/>
  <c r="L9" i="22"/>
  <c r="M9" i="22"/>
  <c r="N9" i="22"/>
  <c r="O9" i="22"/>
  <c r="P9" i="22"/>
  <c r="L10" i="22"/>
  <c r="M10" i="22"/>
  <c r="N10" i="22"/>
  <c r="O10" i="22"/>
  <c r="P10" i="22"/>
  <c r="L11" i="22"/>
  <c r="M11" i="22"/>
  <c r="N11" i="22"/>
  <c r="O11" i="22"/>
  <c r="P11" i="22"/>
  <c r="L12" i="22"/>
  <c r="M12" i="22"/>
  <c r="N12" i="22"/>
  <c r="O12" i="22"/>
  <c r="P12" i="22"/>
  <c r="L13" i="22"/>
  <c r="M13" i="22"/>
  <c r="N13" i="22"/>
  <c r="O13" i="22"/>
  <c r="P13" i="22"/>
  <c r="L14" i="22"/>
  <c r="M14" i="22"/>
  <c r="N14" i="22"/>
  <c r="O14" i="22"/>
  <c r="P14" i="22"/>
  <c r="L15" i="22"/>
  <c r="M15" i="22"/>
  <c r="N15" i="22"/>
  <c r="O15" i="22"/>
  <c r="P15" i="22"/>
  <c r="L16" i="22"/>
  <c r="M16" i="22"/>
  <c r="N16" i="22"/>
  <c r="O16" i="22"/>
  <c r="P16" i="22"/>
  <c r="L17" i="22"/>
  <c r="M17" i="22"/>
  <c r="N17" i="22"/>
  <c r="O17" i="22"/>
  <c r="P17" i="22"/>
  <c r="L18" i="22"/>
  <c r="M18" i="22"/>
  <c r="N18" i="22"/>
  <c r="O18" i="22"/>
  <c r="P18" i="22"/>
  <c r="L19" i="22"/>
  <c r="M19" i="22"/>
  <c r="N19" i="22"/>
  <c r="O19" i="22"/>
  <c r="P19" i="22"/>
  <c r="L20" i="22"/>
  <c r="M20" i="22"/>
  <c r="N20" i="22"/>
  <c r="O20" i="22"/>
  <c r="P20" i="22"/>
  <c r="L21" i="22"/>
  <c r="M21" i="22"/>
  <c r="N21" i="22"/>
  <c r="O21" i="22"/>
  <c r="P21" i="22"/>
  <c r="L22" i="22"/>
  <c r="M22" i="22"/>
  <c r="N22" i="22"/>
  <c r="O22" i="22"/>
  <c r="P22" i="22"/>
  <c r="L23" i="22"/>
  <c r="M23" i="22"/>
  <c r="N23" i="22"/>
  <c r="O23" i="22"/>
  <c r="P23" i="22"/>
  <c r="L24" i="22"/>
  <c r="M24" i="22"/>
  <c r="N24" i="22"/>
  <c r="O24" i="22"/>
  <c r="P24" i="22"/>
  <c r="L25" i="22"/>
  <c r="M25" i="22"/>
  <c r="N25" i="22"/>
  <c r="O25" i="22"/>
  <c r="P25" i="22"/>
  <c r="L26" i="22"/>
  <c r="M26" i="22"/>
  <c r="N26" i="22"/>
  <c r="O26" i="22"/>
  <c r="P26" i="22"/>
  <c r="L27" i="22"/>
  <c r="M27" i="22"/>
  <c r="N27" i="22"/>
  <c r="O27" i="22"/>
  <c r="P27" i="22"/>
  <c r="L28" i="22"/>
  <c r="M28" i="22"/>
  <c r="N28" i="22"/>
  <c r="O28" i="22"/>
  <c r="P28" i="22"/>
  <c r="L29" i="22"/>
  <c r="M29" i="22"/>
  <c r="N29" i="22"/>
  <c r="O29" i="22"/>
  <c r="P29" i="22"/>
  <c r="L30" i="22"/>
  <c r="M30" i="22"/>
  <c r="N30" i="22"/>
  <c r="O30" i="22"/>
  <c r="P30" i="22"/>
  <c r="L31" i="22"/>
  <c r="M31" i="22"/>
  <c r="N31" i="22"/>
  <c r="O31" i="22"/>
  <c r="P31" i="22"/>
  <c r="M2" i="22"/>
  <c r="N2" i="22"/>
  <c r="O2" i="22"/>
  <c r="P2" i="22"/>
  <c r="L2" i="23"/>
  <c r="L3" i="23"/>
  <c r="M3" i="23"/>
  <c r="N3" i="23"/>
  <c r="O3" i="23"/>
  <c r="P3" i="23"/>
  <c r="L4" i="23"/>
  <c r="M4" i="23"/>
  <c r="N4" i="23"/>
  <c r="O4" i="23"/>
  <c r="P4" i="23"/>
  <c r="L5" i="23"/>
  <c r="M5" i="23"/>
  <c r="N5" i="23"/>
  <c r="O5" i="23"/>
  <c r="P5" i="23"/>
  <c r="L6" i="23"/>
  <c r="M6" i="23"/>
  <c r="N6" i="23"/>
  <c r="O6" i="23"/>
  <c r="P6" i="23"/>
  <c r="L7" i="23"/>
  <c r="M7" i="23"/>
  <c r="N7" i="23"/>
  <c r="O7" i="23"/>
  <c r="P7" i="23"/>
  <c r="L8" i="23"/>
  <c r="M8" i="23"/>
  <c r="N8" i="23"/>
  <c r="O8" i="23"/>
  <c r="P8" i="23"/>
  <c r="L9" i="23"/>
  <c r="M9" i="23"/>
  <c r="N9" i="23"/>
  <c r="O9" i="23"/>
  <c r="P9" i="23"/>
  <c r="L10" i="23"/>
  <c r="M10" i="23"/>
  <c r="N10" i="23"/>
  <c r="O10" i="23"/>
  <c r="P10" i="23"/>
  <c r="L11" i="23"/>
  <c r="M11" i="23"/>
  <c r="N11" i="23"/>
  <c r="O11" i="23"/>
  <c r="P11" i="23"/>
  <c r="L12" i="23"/>
  <c r="M12" i="23"/>
  <c r="N12" i="23"/>
  <c r="O12" i="23"/>
  <c r="P12" i="23"/>
  <c r="L13" i="23"/>
  <c r="M13" i="23"/>
  <c r="N13" i="23"/>
  <c r="O13" i="23"/>
  <c r="P13" i="23"/>
  <c r="L14" i="23"/>
  <c r="M14" i="23"/>
  <c r="N14" i="23"/>
  <c r="O14" i="23"/>
  <c r="P14" i="23"/>
  <c r="L15" i="23"/>
  <c r="M15" i="23"/>
  <c r="N15" i="23"/>
  <c r="O15" i="23"/>
  <c r="P15" i="23"/>
  <c r="L16" i="23"/>
  <c r="M16" i="23"/>
  <c r="N16" i="23"/>
  <c r="O16" i="23"/>
  <c r="P16" i="23"/>
  <c r="L17" i="23"/>
  <c r="M17" i="23"/>
  <c r="N17" i="23"/>
  <c r="O17" i="23"/>
  <c r="P17" i="23"/>
  <c r="L18" i="23"/>
  <c r="M18" i="23"/>
  <c r="N18" i="23"/>
  <c r="O18" i="23"/>
  <c r="P18" i="23"/>
  <c r="L19" i="23"/>
  <c r="M19" i="23"/>
  <c r="N19" i="23"/>
  <c r="O19" i="23"/>
  <c r="P19" i="23"/>
  <c r="L20" i="23"/>
  <c r="M20" i="23"/>
  <c r="N20" i="23"/>
  <c r="O20" i="23"/>
  <c r="P20" i="23"/>
  <c r="L21" i="23"/>
  <c r="M21" i="23"/>
  <c r="N21" i="23"/>
  <c r="O21" i="23"/>
  <c r="P21" i="23"/>
  <c r="L22" i="23"/>
  <c r="M22" i="23"/>
  <c r="N22" i="23"/>
  <c r="O22" i="23"/>
  <c r="P22" i="23"/>
  <c r="L23" i="23"/>
  <c r="M23" i="23"/>
  <c r="N23" i="23"/>
  <c r="O23" i="23"/>
  <c r="P23" i="23"/>
  <c r="L24" i="23"/>
  <c r="M24" i="23"/>
  <c r="N24" i="23"/>
  <c r="O24" i="23"/>
  <c r="P24" i="23"/>
  <c r="L25" i="23"/>
  <c r="M25" i="23"/>
  <c r="N25" i="23"/>
  <c r="O25" i="23"/>
  <c r="P25" i="23"/>
  <c r="L26" i="23"/>
  <c r="M26" i="23"/>
  <c r="N26" i="23"/>
  <c r="O26" i="23"/>
  <c r="P26" i="23"/>
  <c r="L27" i="23"/>
  <c r="M27" i="23"/>
  <c r="N27" i="23"/>
  <c r="O27" i="23"/>
  <c r="P27" i="23"/>
  <c r="L28" i="23"/>
  <c r="M28" i="23"/>
  <c r="N28" i="23"/>
  <c r="O28" i="23"/>
  <c r="P28" i="23"/>
  <c r="L29" i="23"/>
  <c r="M29" i="23"/>
  <c r="N29" i="23"/>
  <c r="O29" i="23"/>
  <c r="P29" i="23"/>
  <c r="L30" i="23"/>
  <c r="M30" i="23"/>
  <c r="N30" i="23"/>
  <c r="O30" i="23"/>
  <c r="P30" i="23"/>
  <c r="L31" i="23"/>
  <c r="M31" i="23"/>
  <c r="N31" i="23"/>
  <c r="O31" i="23"/>
  <c r="P31" i="23"/>
  <c r="L32" i="23"/>
  <c r="M32" i="23"/>
  <c r="N32" i="23"/>
  <c r="O32" i="23"/>
  <c r="P32" i="23"/>
  <c r="L33" i="23"/>
  <c r="M33" i="23"/>
  <c r="N33" i="23"/>
  <c r="O33" i="23"/>
  <c r="P33" i="23"/>
  <c r="L34" i="23"/>
  <c r="M34" i="23"/>
  <c r="N34" i="23"/>
  <c r="O34" i="23"/>
  <c r="P34" i="23"/>
  <c r="L35" i="23"/>
  <c r="M35" i="23"/>
  <c r="N35" i="23"/>
  <c r="O35" i="23"/>
  <c r="P35" i="23"/>
  <c r="L36" i="23"/>
  <c r="M36" i="23"/>
  <c r="N36" i="23"/>
  <c r="O36" i="23"/>
  <c r="P36" i="23"/>
  <c r="L37" i="23"/>
  <c r="M37" i="23"/>
  <c r="N37" i="23"/>
  <c r="O37" i="23"/>
  <c r="P37" i="23"/>
  <c r="L38" i="23"/>
  <c r="M38" i="23"/>
  <c r="N38" i="23"/>
  <c r="O38" i="23"/>
  <c r="P38" i="23"/>
  <c r="L39" i="23"/>
  <c r="M39" i="23"/>
  <c r="N39" i="23"/>
  <c r="O39" i="23"/>
  <c r="P39" i="23"/>
  <c r="L40" i="23"/>
  <c r="M40" i="23"/>
  <c r="N40" i="23"/>
  <c r="O40" i="23"/>
  <c r="P40" i="23"/>
  <c r="L41" i="23"/>
  <c r="M41" i="23"/>
  <c r="N41" i="23"/>
  <c r="O41" i="23"/>
  <c r="P41" i="23"/>
  <c r="L42" i="23"/>
  <c r="M42" i="23"/>
  <c r="N42" i="23"/>
  <c r="O42" i="23"/>
  <c r="P42" i="23"/>
  <c r="L43" i="23"/>
  <c r="M43" i="23"/>
  <c r="N43" i="23"/>
  <c r="O43" i="23"/>
  <c r="P43" i="23"/>
  <c r="L44" i="23"/>
  <c r="M44" i="23"/>
  <c r="N44" i="23"/>
  <c r="O44" i="23"/>
  <c r="P44" i="23"/>
  <c r="L45" i="23"/>
  <c r="M45" i="23"/>
  <c r="N45" i="23"/>
  <c r="O45" i="23"/>
  <c r="P45" i="23"/>
  <c r="L46" i="23"/>
  <c r="M46" i="23"/>
  <c r="N46" i="23"/>
  <c r="O46" i="23"/>
  <c r="P46" i="23"/>
  <c r="L47" i="23"/>
  <c r="M47" i="23"/>
  <c r="N47" i="23"/>
  <c r="O47" i="23"/>
  <c r="P47" i="23"/>
  <c r="L48" i="23"/>
  <c r="M48" i="23"/>
  <c r="N48" i="23"/>
  <c r="O48" i="23"/>
  <c r="P48" i="23"/>
  <c r="L49" i="23"/>
  <c r="M49" i="23"/>
  <c r="N49" i="23"/>
  <c r="O49" i="23"/>
  <c r="P49" i="23"/>
  <c r="L50" i="23"/>
  <c r="M50" i="23"/>
  <c r="N50" i="23"/>
  <c r="O50" i="23"/>
  <c r="P50" i="23"/>
  <c r="L51" i="23"/>
  <c r="M51" i="23"/>
  <c r="N51" i="23"/>
  <c r="O51" i="23"/>
  <c r="P51" i="23"/>
  <c r="L52" i="23"/>
  <c r="M52" i="23"/>
  <c r="N52" i="23"/>
  <c r="O52" i="23"/>
  <c r="P52" i="23"/>
  <c r="L53" i="23"/>
  <c r="M53" i="23"/>
  <c r="N53" i="23"/>
  <c r="O53" i="23"/>
  <c r="P53" i="23"/>
  <c r="L54" i="23"/>
  <c r="M54" i="23"/>
  <c r="N54" i="23"/>
  <c r="O54" i="23"/>
  <c r="P54" i="23"/>
  <c r="L55" i="23"/>
  <c r="M55" i="23"/>
  <c r="N55" i="23"/>
  <c r="O55" i="23"/>
  <c r="P55" i="23"/>
  <c r="L56" i="23"/>
  <c r="M56" i="23"/>
  <c r="N56" i="23"/>
  <c r="O56" i="23"/>
  <c r="P56" i="23"/>
  <c r="M2" i="23"/>
  <c r="N2" i="23"/>
  <c r="O2" i="23"/>
  <c r="P2" i="23"/>
  <c r="L3" i="24"/>
  <c r="M3" i="24"/>
  <c r="N3" i="24"/>
  <c r="O3" i="24"/>
  <c r="P3" i="24"/>
  <c r="L4" i="24"/>
  <c r="M4" i="24"/>
  <c r="N4" i="24"/>
  <c r="O4" i="24"/>
  <c r="P4" i="24"/>
  <c r="L5" i="24"/>
  <c r="M5" i="24"/>
  <c r="N5" i="24"/>
  <c r="O5" i="24"/>
  <c r="P5" i="24"/>
  <c r="L6" i="24"/>
  <c r="M6" i="24"/>
  <c r="N6" i="24"/>
  <c r="O6" i="24"/>
  <c r="P6" i="24"/>
  <c r="L7" i="24"/>
  <c r="M7" i="24"/>
  <c r="N7" i="24"/>
  <c r="O7" i="24"/>
  <c r="P7" i="24"/>
  <c r="L8" i="24"/>
  <c r="M8" i="24"/>
  <c r="N8" i="24"/>
  <c r="O8" i="24"/>
  <c r="P8" i="24"/>
  <c r="L9" i="24"/>
  <c r="M9" i="24"/>
  <c r="N9" i="24"/>
  <c r="O9" i="24"/>
  <c r="P9" i="24"/>
  <c r="L10" i="24"/>
  <c r="M10" i="24"/>
  <c r="N10" i="24"/>
  <c r="O10" i="24"/>
  <c r="P10" i="24"/>
  <c r="L11" i="24"/>
  <c r="M11" i="24"/>
  <c r="N11" i="24"/>
  <c r="O11" i="24"/>
  <c r="P11" i="24"/>
  <c r="L12" i="24"/>
  <c r="M12" i="24"/>
  <c r="N12" i="24"/>
  <c r="O12" i="24"/>
  <c r="P12" i="24"/>
  <c r="L13" i="24"/>
  <c r="M13" i="24"/>
  <c r="N13" i="24"/>
  <c r="O13" i="24"/>
  <c r="P13" i="24"/>
  <c r="L14" i="24"/>
  <c r="M14" i="24"/>
  <c r="N14" i="24"/>
  <c r="O14" i="24"/>
  <c r="P14" i="24"/>
  <c r="L15" i="24"/>
  <c r="M15" i="24"/>
  <c r="N15" i="24"/>
  <c r="O15" i="24"/>
  <c r="P15" i="24"/>
  <c r="L16" i="24"/>
  <c r="M16" i="24"/>
  <c r="N16" i="24"/>
  <c r="O16" i="24"/>
  <c r="P16" i="24"/>
  <c r="L17" i="24"/>
  <c r="M17" i="24"/>
  <c r="N17" i="24"/>
  <c r="O17" i="24"/>
  <c r="P17" i="24"/>
  <c r="L18" i="24"/>
  <c r="M18" i="24"/>
  <c r="N18" i="24"/>
  <c r="O18" i="24"/>
  <c r="P18" i="24"/>
  <c r="L19" i="24"/>
  <c r="M19" i="24"/>
  <c r="N19" i="24"/>
  <c r="O19" i="24"/>
  <c r="P19" i="24"/>
  <c r="L20" i="24"/>
  <c r="M20" i="24"/>
  <c r="N20" i="24"/>
  <c r="O20" i="24"/>
  <c r="P20" i="24"/>
  <c r="L21" i="24"/>
  <c r="M21" i="24"/>
  <c r="N21" i="24"/>
  <c r="O21" i="24"/>
  <c r="P21" i="24"/>
  <c r="L22" i="24"/>
  <c r="M22" i="24"/>
  <c r="N22" i="24"/>
  <c r="O22" i="24"/>
  <c r="P22" i="24"/>
  <c r="L23" i="24"/>
  <c r="M23" i="24"/>
  <c r="N23" i="24"/>
  <c r="O23" i="24"/>
  <c r="P23" i="24"/>
  <c r="L24" i="24"/>
  <c r="M24" i="24"/>
  <c r="N24" i="24"/>
  <c r="O24" i="24"/>
  <c r="P24" i="24"/>
  <c r="L25" i="24"/>
  <c r="M25" i="24"/>
  <c r="N25" i="24"/>
  <c r="O25" i="24"/>
  <c r="P25" i="24"/>
  <c r="L26" i="24"/>
  <c r="M26" i="24"/>
  <c r="N26" i="24"/>
  <c r="O26" i="24"/>
  <c r="P26" i="24"/>
  <c r="L27" i="24"/>
  <c r="M27" i="24"/>
  <c r="N27" i="24"/>
  <c r="O27" i="24"/>
  <c r="P27" i="24"/>
  <c r="L28" i="24"/>
  <c r="M28" i="24"/>
  <c r="N28" i="24"/>
  <c r="O28" i="24"/>
  <c r="P28" i="24"/>
  <c r="L29" i="24"/>
  <c r="M29" i="24"/>
  <c r="N29" i="24"/>
  <c r="O29" i="24"/>
  <c r="P29" i="24"/>
  <c r="L30" i="24"/>
  <c r="M30" i="24"/>
  <c r="N30" i="24"/>
  <c r="O30" i="24"/>
  <c r="P30" i="24"/>
  <c r="L31" i="24"/>
  <c r="M31" i="24"/>
  <c r="N31" i="24"/>
  <c r="O31" i="24"/>
  <c r="P31" i="24"/>
  <c r="L32" i="24"/>
  <c r="M32" i="24"/>
  <c r="N32" i="24"/>
  <c r="O32" i="24"/>
  <c r="P32" i="24"/>
  <c r="L33" i="24"/>
  <c r="M33" i="24"/>
  <c r="N33" i="24"/>
  <c r="O33" i="24"/>
  <c r="P33" i="24"/>
  <c r="M2" i="24"/>
  <c r="N2" i="24"/>
  <c r="O2" i="24"/>
  <c r="P2" i="24"/>
  <c r="L2" i="24"/>
  <c r="L3" i="25"/>
  <c r="M3" i="25"/>
  <c r="N3" i="25"/>
  <c r="O3" i="25"/>
  <c r="P3" i="25"/>
  <c r="L4" i="25"/>
  <c r="M4" i="25"/>
  <c r="N4" i="25"/>
  <c r="O4" i="25"/>
  <c r="P4" i="25"/>
  <c r="L5" i="25"/>
  <c r="M5" i="25"/>
  <c r="N5" i="25"/>
  <c r="O5" i="25"/>
  <c r="P5" i="25"/>
  <c r="L6" i="25"/>
  <c r="M6" i="25"/>
  <c r="N6" i="25"/>
  <c r="O6" i="25"/>
  <c r="P6" i="25"/>
  <c r="L7" i="25"/>
  <c r="M7" i="25"/>
  <c r="N7" i="25"/>
  <c r="O7" i="25"/>
  <c r="P7" i="25"/>
  <c r="L8" i="25"/>
  <c r="M8" i="25"/>
  <c r="N8" i="25"/>
  <c r="O8" i="25"/>
  <c r="P8" i="25"/>
  <c r="L9" i="25"/>
  <c r="M9" i="25"/>
  <c r="N9" i="25"/>
  <c r="O9" i="25"/>
  <c r="P9" i="25"/>
  <c r="L10" i="25"/>
  <c r="M10" i="25"/>
  <c r="N10" i="25"/>
  <c r="O10" i="25"/>
  <c r="P10" i="25"/>
  <c r="L11" i="25"/>
  <c r="M11" i="25"/>
  <c r="N11" i="25"/>
  <c r="O11" i="25"/>
  <c r="P11" i="25"/>
  <c r="L12" i="25"/>
  <c r="M12" i="25"/>
  <c r="N12" i="25"/>
  <c r="O12" i="25"/>
  <c r="P12" i="25"/>
  <c r="L13" i="25"/>
  <c r="M13" i="25"/>
  <c r="N13" i="25"/>
  <c r="O13" i="25"/>
  <c r="P13" i="25"/>
  <c r="L14" i="25"/>
  <c r="M14" i="25"/>
  <c r="N14" i="25"/>
  <c r="O14" i="25"/>
  <c r="P14" i="25"/>
  <c r="L15" i="25"/>
  <c r="M15" i="25"/>
  <c r="N15" i="25"/>
  <c r="O15" i="25"/>
  <c r="P15" i="25"/>
  <c r="L16" i="25"/>
  <c r="M16" i="25"/>
  <c r="N16" i="25"/>
  <c r="O16" i="25"/>
  <c r="P16" i="25"/>
  <c r="L17" i="25"/>
  <c r="M17" i="25"/>
  <c r="N17" i="25"/>
  <c r="O17" i="25"/>
  <c r="P17" i="25"/>
  <c r="L18" i="25"/>
  <c r="M18" i="25"/>
  <c r="N18" i="25"/>
  <c r="O18" i="25"/>
  <c r="P18" i="25"/>
  <c r="L19" i="25"/>
  <c r="M19" i="25"/>
  <c r="N19" i="25"/>
  <c r="O19" i="25"/>
  <c r="P19" i="25"/>
  <c r="L20" i="25"/>
  <c r="M20" i="25"/>
  <c r="N20" i="25"/>
  <c r="O20" i="25"/>
  <c r="P20" i="25"/>
  <c r="L21" i="25"/>
  <c r="M21" i="25"/>
  <c r="N21" i="25"/>
  <c r="O21" i="25"/>
  <c r="P21" i="25"/>
  <c r="L22" i="25"/>
  <c r="M22" i="25"/>
  <c r="N22" i="25"/>
  <c r="O22" i="25"/>
  <c r="P22" i="25"/>
  <c r="L23" i="25"/>
  <c r="M23" i="25"/>
  <c r="N23" i="25"/>
  <c r="O23" i="25"/>
  <c r="P23" i="25"/>
  <c r="L24" i="25"/>
  <c r="M24" i="25"/>
  <c r="N24" i="25"/>
  <c r="O24" i="25"/>
  <c r="P24" i="25"/>
  <c r="L25" i="25"/>
  <c r="M25" i="25"/>
  <c r="N25" i="25"/>
  <c r="O25" i="25"/>
  <c r="P25" i="25"/>
  <c r="L26" i="25"/>
  <c r="M26" i="25"/>
  <c r="N26" i="25"/>
  <c r="O26" i="25"/>
  <c r="P26" i="25"/>
  <c r="L27" i="25"/>
  <c r="M27" i="25"/>
  <c r="N27" i="25"/>
  <c r="O27" i="25"/>
  <c r="P27" i="25"/>
  <c r="L28" i="25"/>
  <c r="M28" i="25"/>
  <c r="N28" i="25"/>
  <c r="O28" i="25"/>
  <c r="P28" i="25"/>
  <c r="L29" i="25"/>
  <c r="M29" i="25"/>
  <c r="N29" i="25"/>
  <c r="O29" i="25"/>
  <c r="P29" i="25"/>
  <c r="L30" i="25"/>
  <c r="M30" i="25"/>
  <c r="N30" i="25"/>
  <c r="O30" i="25"/>
  <c r="P30" i="25"/>
  <c r="L31" i="25"/>
  <c r="M31" i="25"/>
  <c r="N31" i="25"/>
  <c r="O31" i="25"/>
  <c r="P31" i="25"/>
  <c r="L32" i="25"/>
  <c r="M32" i="25"/>
  <c r="N32" i="25"/>
  <c r="O32" i="25"/>
  <c r="P32" i="25"/>
  <c r="L33" i="25"/>
  <c r="M33" i="25"/>
  <c r="N33" i="25"/>
  <c r="O33" i="25"/>
  <c r="P33" i="25"/>
  <c r="L34" i="25"/>
  <c r="M34" i="25"/>
  <c r="N34" i="25"/>
  <c r="O34" i="25"/>
  <c r="P34" i="25"/>
  <c r="L35" i="25"/>
  <c r="M35" i="25"/>
  <c r="N35" i="25"/>
  <c r="O35" i="25"/>
  <c r="P35" i="25"/>
  <c r="L36" i="25"/>
  <c r="M36" i="25"/>
  <c r="N36" i="25"/>
  <c r="O36" i="25"/>
  <c r="P36" i="25"/>
  <c r="L37" i="25"/>
  <c r="M37" i="25"/>
  <c r="N37" i="25"/>
  <c r="O37" i="25"/>
  <c r="P37" i="25"/>
  <c r="L38" i="25"/>
  <c r="M38" i="25"/>
  <c r="N38" i="25"/>
  <c r="O38" i="25"/>
  <c r="P38" i="25"/>
  <c r="L39" i="25"/>
  <c r="M39" i="25"/>
  <c r="N39" i="25"/>
  <c r="O39" i="25"/>
  <c r="P39" i="25"/>
  <c r="L40" i="25"/>
  <c r="M40" i="25"/>
  <c r="N40" i="25"/>
  <c r="O40" i="25"/>
  <c r="P40" i="25"/>
  <c r="L41" i="25"/>
  <c r="M41" i="25"/>
  <c r="N41" i="25"/>
  <c r="O41" i="25"/>
  <c r="P41" i="25"/>
  <c r="L42" i="25"/>
  <c r="M42" i="25"/>
  <c r="N42" i="25"/>
  <c r="O42" i="25"/>
  <c r="P42" i="25"/>
  <c r="L43" i="25"/>
  <c r="M43" i="25"/>
  <c r="N43" i="25"/>
  <c r="O43" i="25"/>
  <c r="P43" i="25"/>
  <c r="L44" i="25"/>
  <c r="M44" i="25"/>
  <c r="N44" i="25"/>
  <c r="O44" i="25"/>
  <c r="P44" i="25"/>
  <c r="L45" i="25"/>
  <c r="M45" i="25"/>
  <c r="N45" i="25"/>
  <c r="O45" i="25"/>
  <c r="P45" i="25"/>
  <c r="L46" i="25"/>
  <c r="M46" i="25"/>
  <c r="N46" i="25"/>
  <c r="O46" i="25"/>
  <c r="P46" i="25"/>
  <c r="L47" i="25"/>
  <c r="M47" i="25"/>
  <c r="N47" i="25"/>
  <c r="O47" i="25"/>
  <c r="P47" i="25"/>
  <c r="L48" i="25"/>
  <c r="M48" i="25"/>
  <c r="N48" i="25"/>
  <c r="O48" i="25"/>
  <c r="P48" i="25"/>
  <c r="L49" i="25"/>
  <c r="M49" i="25"/>
  <c r="N49" i="25"/>
  <c r="O49" i="25"/>
  <c r="P49" i="25"/>
  <c r="L50" i="25"/>
  <c r="M50" i="25"/>
  <c r="N50" i="25"/>
  <c r="O50" i="25"/>
  <c r="P50" i="25"/>
  <c r="L51" i="25"/>
  <c r="M51" i="25"/>
  <c r="N51" i="25"/>
  <c r="O51" i="25"/>
  <c r="P51" i="25"/>
  <c r="L52" i="25"/>
  <c r="M52" i="25"/>
  <c r="N52" i="25"/>
  <c r="O52" i="25"/>
  <c r="P52" i="25"/>
  <c r="L53" i="25"/>
  <c r="M53" i="25"/>
  <c r="N53" i="25"/>
  <c r="O53" i="25"/>
  <c r="P53" i="25"/>
  <c r="L54" i="25"/>
  <c r="M54" i="25"/>
  <c r="N54" i="25"/>
  <c r="O54" i="25"/>
  <c r="P54" i="25"/>
  <c r="L55" i="25"/>
  <c r="M55" i="25"/>
  <c r="N55" i="25"/>
  <c r="O55" i="25"/>
  <c r="P55" i="25"/>
  <c r="L56" i="25"/>
  <c r="M56" i="25"/>
  <c r="N56" i="25"/>
  <c r="O56" i="25"/>
  <c r="P56" i="25"/>
  <c r="L57" i="25"/>
  <c r="M57" i="25"/>
  <c r="N57" i="25"/>
  <c r="O57" i="25"/>
  <c r="P57" i="25"/>
  <c r="L58" i="25"/>
  <c r="M58" i="25"/>
  <c r="N58" i="25"/>
  <c r="O58" i="25"/>
  <c r="P58" i="25"/>
  <c r="L59" i="25"/>
  <c r="M59" i="25"/>
  <c r="N59" i="25"/>
  <c r="O59" i="25"/>
  <c r="P59" i="25"/>
  <c r="L60" i="25"/>
  <c r="M60" i="25"/>
  <c r="N60" i="25"/>
  <c r="O60" i="25"/>
  <c r="P60" i="25"/>
  <c r="L61" i="25"/>
  <c r="M61" i="25"/>
  <c r="N61" i="25"/>
  <c r="O61" i="25"/>
  <c r="P61" i="25"/>
  <c r="L62" i="25"/>
  <c r="M62" i="25"/>
  <c r="N62" i="25"/>
  <c r="O62" i="25"/>
  <c r="P62" i="25"/>
  <c r="L63" i="25"/>
  <c r="M63" i="25"/>
  <c r="N63" i="25"/>
  <c r="O63" i="25"/>
  <c r="P63" i="25"/>
  <c r="L64" i="25"/>
  <c r="M64" i="25"/>
  <c r="N64" i="25"/>
  <c r="O64" i="25"/>
  <c r="P64" i="25"/>
  <c r="L65" i="25"/>
  <c r="M65" i="25"/>
  <c r="N65" i="25"/>
  <c r="O65" i="25"/>
  <c r="P65" i="25"/>
  <c r="L66" i="25"/>
  <c r="M66" i="25"/>
  <c r="N66" i="25"/>
  <c r="O66" i="25"/>
  <c r="P66" i="25"/>
  <c r="L67" i="25"/>
  <c r="M67" i="25"/>
  <c r="N67" i="25"/>
  <c r="O67" i="25"/>
  <c r="P67" i="25"/>
  <c r="L68" i="25"/>
  <c r="M68" i="25"/>
  <c r="N68" i="25"/>
  <c r="O68" i="25"/>
  <c r="P68" i="25"/>
  <c r="L69" i="25"/>
  <c r="M69" i="25"/>
  <c r="N69" i="25"/>
  <c r="O69" i="25"/>
  <c r="P69" i="25"/>
  <c r="L70" i="25"/>
  <c r="M70" i="25"/>
  <c r="N70" i="25"/>
  <c r="O70" i="25"/>
  <c r="P70" i="25"/>
  <c r="L71" i="25"/>
  <c r="M71" i="25"/>
  <c r="N71" i="25"/>
  <c r="O71" i="25"/>
  <c r="P71" i="25"/>
  <c r="L72" i="25"/>
  <c r="M72" i="25"/>
  <c r="N72" i="25"/>
  <c r="O72" i="25"/>
  <c r="P72" i="25"/>
  <c r="L73" i="25"/>
  <c r="M73" i="25"/>
  <c r="N73" i="25"/>
  <c r="O73" i="25"/>
  <c r="P73" i="25"/>
  <c r="L74" i="25"/>
  <c r="M74" i="25"/>
  <c r="N74" i="25"/>
  <c r="O74" i="25"/>
  <c r="P74" i="25"/>
  <c r="L75" i="25"/>
  <c r="M75" i="25"/>
  <c r="N75" i="25"/>
  <c r="O75" i="25"/>
  <c r="P75" i="25"/>
  <c r="L76" i="25"/>
  <c r="M76" i="25"/>
  <c r="N76" i="25"/>
  <c r="O76" i="25"/>
  <c r="P76" i="25"/>
  <c r="L77" i="25"/>
  <c r="M77" i="25"/>
  <c r="N77" i="25"/>
  <c r="O77" i="25"/>
  <c r="P77" i="25"/>
  <c r="L78" i="25"/>
  <c r="M78" i="25"/>
  <c r="N78" i="25"/>
  <c r="O78" i="25"/>
  <c r="P78" i="25"/>
  <c r="L79" i="25"/>
  <c r="M79" i="25"/>
  <c r="N79" i="25"/>
  <c r="O79" i="25"/>
  <c r="P79" i="25"/>
  <c r="L80" i="25"/>
  <c r="M80" i="25"/>
  <c r="N80" i="25"/>
  <c r="O80" i="25"/>
  <c r="P80" i="25"/>
  <c r="L81" i="25"/>
  <c r="M81" i="25"/>
  <c r="N81" i="25"/>
  <c r="O81" i="25"/>
  <c r="P81" i="25"/>
  <c r="L82" i="25"/>
  <c r="M82" i="25"/>
  <c r="N82" i="25"/>
  <c r="O82" i="25"/>
  <c r="P82" i="25"/>
  <c r="L83" i="25"/>
  <c r="M83" i="25"/>
  <c r="N83" i="25"/>
  <c r="O83" i="25"/>
  <c r="P83" i="25"/>
  <c r="L84" i="25"/>
  <c r="M84" i="25"/>
  <c r="N84" i="25"/>
  <c r="O84" i="25"/>
  <c r="P84" i="25"/>
  <c r="M2" i="25"/>
  <c r="N2" i="25"/>
  <c r="O2" i="25"/>
  <c r="P2" i="25"/>
  <c r="L2" i="25"/>
  <c r="L180" i="26"/>
  <c r="M180" i="26"/>
  <c r="N180" i="26"/>
  <c r="O180" i="26"/>
  <c r="P180" i="26"/>
  <c r="L181" i="26"/>
  <c r="N181" i="26"/>
  <c r="O181" i="26"/>
  <c r="P181" i="26"/>
  <c r="L182" i="26"/>
  <c r="M182" i="26"/>
  <c r="N182" i="26"/>
  <c r="O182" i="26"/>
  <c r="P182" i="26"/>
  <c r="L183" i="26"/>
  <c r="M183" i="26"/>
  <c r="N183" i="26"/>
  <c r="O183" i="26"/>
  <c r="P183" i="26"/>
  <c r="L184" i="26"/>
  <c r="M184" i="26"/>
  <c r="N184" i="26"/>
  <c r="O184" i="26"/>
  <c r="P184" i="26"/>
  <c r="L185" i="26"/>
  <c r="N185" i="26"/>
  <c r="O185" i="26"/>
  <c r="P185" i="26"/>
  <c r="L186" i="26"/>
  <c r="M186" i="26"/>
  <c r="N186" i="26"/>
  <c r="O186" i="26"/>
  <c r="P186" i="26"/>
  <c r="L187" i="26"/>
  <c r="M187" i="26"/>
  <c r="N187" i="26"/>
  <c r="O187" i="26"/>
  <c r="P187" i="26"/>
  <c r="L188" i="26"/>
  <c r="M188" i="26"/>
  <c r="N188" i="26"/>
  <c r="O188" i="26"/>
  <c r="P188" i="26"/>
  <c r="L189" i="26"/>
  <c r="N189" i="26"/>
  <c r="O189" i="26"/>
  <c r="P189" i="26"/>
  <c r="L3" i="26"/>
  <c r="M3" i="26"/>
  <c r="N3" i="26"/>
  <c r="O3" i="26"/>
  <c r="P3" i="26"/>
  <c r="L4" i="26"/>
  <c r="M4" i="26"/>
  <c r="N4" i="26"/>
  <c r="O4" i="26"/>
  <c r="P4" i="26"/>
  <c r="L5" i="26"/>
  <c r="N5" i="26"/>
  <c r="O5" i="26"/>
  <c r="P5" i="26"/>
  <c r="L6" i="26"/>
  <c r="M6" i="26"/>
  <c r="N6" i="26"/>
  <c r="O6" i="26"/>
  <c r="P6" i="26"/>
  <c r="L7" i="26"/>
  <c r="M7" i="26"/>
  <c r="N7" i="26"/>
  <c r="O7" i="26"/>
  <c r="P7" i="26"/>
  <c r="L8" i="26"/>
  <c r="M8" i="26"/>
  <c r="N8" i="26"/>
  <c r="O8" i="26"/>
  <c r="P8" i="26"/>
  <c r="L9" i="26"/>
  <c r="N9" i="26"/>
  <c r="O9" i="26"/>
  <c r="P9" i="26"/>
  <c r="L10" i="26"/>
  <c r="M10" i="26"/>
  <c r="N10" i="26"/>
  <c r="O10" i="26"/>
  <c r="P10" i="26"/>
  <c r="L11" i="26"/>
  <c r="M11" i="26"/>
  <c r="N11" i="26"/>
  <c r="O11" i="26"/>
  <c r="P11" i="26"/>
  <c r="L12" i="26"/>
  <c r="M12" i="26"/>
  <c r="N12" i="26"/>
  <c r="O12" i="26"/>
  <c r="P12" i="26"/>
  <c r="L13" i="26"/>
  <c r="N13" i="26"/>
  <c r="O13" i="26"/>
  <c r="P13" i="26"/>
  <c r="L14" i="26"/>
  <c r="M14" i="26"/>
  <c r="N14" i="26"/>
  <c r="O14" i="26"/>
  <c r="P14" i="26"/>
  <c r="L15" i="26"/>
  <c r="M15" i="26"/>
  <c r="N15" i="26"/>
  <c r="O15" i="26"/>
  <c r="P15" i="26"/>
  <c r="L16" i="26"/>
  <c r="M16" i="26"/>
  <c r="N16" i="26"/>
  <c r="O16" i="26"/>
  <c r="P16" i="26"/>
  <c r="L17" i="26"/>
  <c r="M17" i="26"/>
  <c r="N17" i="26"/>
  <c r="O17" i="26"/>
  <c r="P17" i="26"/>
  <c r="L18" i="26"/>
  <c r="M18" i="26"/>
  <c r="N18" i="26"/>
  <c r="O18" i="26"/>
  <c r="P18" i="26"/>
  <c r="L19" i="26"/>
  <c r="M19" i="26"/>
  <c r="N19" i="26"/>
  <c r="O19" i="26"/>
  <c r="P19" i="26"/>
  <c r="L20" i="26"/>
  <c r="M20" i="26"/>
  <c r="N20" i="26"/>
  <c r="O20" i="26"/>
  <c r="P20" i="26"/>
  <c r="L21" i="26"/>
  <c r="M21" i="26"/>
  <c r="N21" i="26"/>
  <c r="O21" i="26"/>
  <c r="P21" i="26"/>
  <c r="L22" i="26"/>
  <c r="M22" i="26"/>
  <c r="N22" i="26"/>
  <c r="O22" i="26"/>
  <c r="P22" i="26"/>
  <c r="L23" i="26"/>
  <c r="M23" i="26"/>
  <c r="N23" i="26"/>
  <c r="O23" i="26"/>
  <c r="P23" i="26"/>
  <c r="L24" i="26"/>
  <c r="M24" i="26"/>
  <c r="N24" i="26"/>
  <c r="O24" i="26"/>
  <c r="P24" i="26"/>
  <c r="L25" i="26"/>
  <c r="M25" i="26"/>
  <c r="N25" i="26"/>
  <c r="O25" i="26"/>
  <c r="P25" i="26"/>
  <c r="L26" i="26"/>
  <c r="M26" i="26"/>
  <c r="N26" i="26"/>
  <c r="O26" i="26"/>
  <c r="P26" i="26"/>
  <c r="L27" i="26"/>
  <c r="M27" i="26"/>
  <c r="N27" i="26"/>
  <c r="O27" i="26"/>
  <c r="P27" i="26"/>
  <c r="L28" i="26"/>
  <c r="M28" i="26"/>
  <c r="N28" i="26"/>
  <c r="O28" i="26"/>
  <c r="P28" i="26"/>
  <c r="L29" i="26"/>
  <c r="M29" i="26"/>
  <c r="N29" i="26"/>
  <c r="O29" i="26"/>
  <c r="P29" i="26"/>
  <c r="L30" i="26"/>
  <c r="M30" i="26"/>
  <c r="N30" i="26"/>
  <c r="O30" i="26"/>
  <c r="P30" i="26"/>
  <c r="L31" i="26"/>
  <c r="M31" i="26"/>
  <c r="N31" i="26"/>
  <c r="O31" i="26"/>
  <c r="P31" i="26"/>
  <c r="L32" i="26"/>
  <c r="M32" i="26"/>
  <c r="N32" i="26"/>
  <c r="O32" i="26"/>
  <c r="P32" i="26"/>
  <c r="L33" i="26"/>
  <c r="M33" i="26"/>
  <c r="N33" i="26"/>
  <c r="O33" i="26"/>
  <c r="P33" i="26"/>
  <c r="L34" i="26"/>
  <c r="M34" i="26"/>
  <c r="N34" i="26"/>
  <c r="O34" i="26"/>
  <c r="P34" i="26"/>
  <c r="L35" i="26"/>
  <c r="M35" i="26"/>
  <c r="N35" i="26"/>
  <c r="O35" i="26"/>
  <c r="P35" i="26"/>
  <c r="L36" i="26"/>
  <c r="M36" i="26"/>
  <c r="N36" i="26"/>
  <c r="O36" i="26"/>
  <c r="P36" i="26"/>
  <c r="L37" i="26"/>
  <c r="M37" i="26"/>
  <c r="N37" i="26"/>
  <c r="O37" i="26"/>
  <c r="P37" i="26"/>
  <c r="L38" i="26"/>
  <c r="M38" i="26"/>
  <c r="N38" i="26"/>
  <c r="O38" i="26"/>
  <c r="P38" i="26"/>
  <c r="L39" i="26"/>
  <c r="M39" i="26"/>
  <c r="N39" i="26"/>
  <c r="O39" i="26"/>
  <c r="P39" i="26"/>
  <c r="L40" i="26"/>
  <c r="M40" i="26"/>
  <c r="N40" i="26"/>
  <c r="O40" i="26"/>
  <c r="P40" i="26"/>
  <c r="L41" i="26"/>
  <c r="M41" i="26"/>
  <c r="N41" i="26"/>
  <c r="O41" i="26"/>
  <c r="P41" i="26"/>
  <c r="L42" i="26"/>
  <c r="M42" i="26"/>
  <c r="N42" i="26"/>
  <c r="O42" i="26"/>
  <c r="P42" i="26"/>
  <c r="L43" i="26"/>
  <c r="M43" i="26"/>
  <c r="N43" i="26"/>
  <c r="O43" i="26"/>
  <c r="P43" i="26"/>
  <c r="L44" i="26"/>
  <c r="M44" i="26"/>
  <c r="N44" i="26"/>
  <c r="O44" i="26"/>
  <c r="P44" i="26"/>
  <c r="L45" i="26"/>
  <c r="M45" i="26"/>
  <c r="N45" i="26"/>
  <c r="O45" i="26"/>
  <c r="P45" i="26"/>
  <c r="L46" i="26"/>
  <c r="M46" i="26"/>
  <c r="N46" i="26"/>
  <c r="O46" i="26"/>
  <c r="P46" i="26"/>
  <c r="L47" i="26"/>
  <c r="M47" i="26"/>
  <c r="N47" i="26"/>
  <c r="O47" i="26"/>
  <c r="P47" i="26"/>
  <c r="L48" i="26"/>
  <c r="M48" i="26"/>
  <c r="N48" i="26"/>
  <c r="O48" i="26"/>
  <c r="P48" i="26"/>
  <c r="L49" i="26"/>
  <c r="M49" i="26"/>
  <c r="N49" i="26"/>
  <c r="O49" i="26"/>
  <c r="P49" i="26"/>
  <c r="L50" i="26"/>
  <c r="M50" i="26"/>
  <c r="N50" i="26"/>
  <c r="O50" i="26"/>
  <c r="P50" i="26"/>
  <c r="L51" i="26"/>
  <c r="M51" i="26"/>
  <c r="N51" i="26"/>
  <c r="O51" i="26"/>
  <c r="P51" i="26"/>
  <c r="L52" i="26"/>
  <c r="M52" i="26"/>
  <c r="N52" i="26"/>
  <c r="O52" i="26"/>
  <c r="P52" i="26"/>
  <c r="L53" i="26"/>
  <c r="M53" i="26"/>
  <c r="N53" i="26"/>
  <c r="O53" i="26"/>
  <c r="P53" i="26"/>
  <c r="L54" i="26"/>
  <c r="M54" i="26"/>
  <c r="N54" i="26"/>
  <c r="O54" i="26"/>
  <c r="P54" i="26"/>
  <c r="L55" i="26"/>
  <c r="M55" i="26"/>
  <c r="N55" i="26"/>
  <c r="O55" i="26"/>
  <c r="P55" i="26"/>
  <c r="L56" i="26"/>
  <c r="M56" i="26"/>
  <c r="N56" i="26"/>
  <c r="O56" i="26"/>
  <c r="P56" i="26"/>
  <c r="L57" i="26"/>
  <c r="M57" i="26"/>
  <c r="N57" i="26"/>
  <c r="O57" i="26"/>
  <c r="P57" i="26"/>
  <c r="L58" i="26"/>
  <c r="M58" i="26"/>
  <c r="N58" i="26"/>
  <c r="O58" i="26"/>
  <c r="P58" i="26"/>
  <c r="L59" i="26"/>
  <c r="M59" i="26"/>
  <c r="N59" i="26"/>
  <c r="O59" i="26"/>
  <c r="P59" i="26"/>
  <c r="L60" i="26"/>
  <c r="M60" i="26"/>
  <c r="N60" i="26"/>
  <c r="O60" i="26"/>
  <c r="P60" i="26"/>
  <c r="L61" i="26"/>
  <c r="M61" i="26"/>
  <c r="N61" i="26"/>
  <c r="O61" i="26"/>
  <c r="P61" i="26"/>
  <c r="L62" i="26"/>
  <c r="M62" i="26"/>
  <c r="N62" i="26"/>
  <c r="O62" i="26"/>
  <c r="P62" i="26"/>
  <c r="L63" i="26"/>
  <c r="M63" i="26"/>
  <c r="N63" i="26"/>
  <c r="O63" i="26"/>
  <c r="P63" i="26"/>
  <c r="L64" i="26"/>
  <c r="M64" i="26"/>
  <c r="N64" i="26"/>
  <c r="O64" i="26"/>
  <c r="P64" i="26"/>
  <c r="L65" i="26"/>
  <c r="M65" i="26"/>
  <c r="N65" i="26"/>
  <c r="O65" i="26"/>
  <c r="P65" i="26"/>
  <c r="L66" i="26"/>
  <c r="M66" i="26"/>
  <c r="N66" i="26"/>
  <c r="O66" i="26"/>
  <c r="P66" i="26"/>
  <c r="L67" i="26"/>
  <c r="M67" i="26"/>
  <c r="N67" i="26"/>
  <c r="O67" i="26"/>
  <c r="P67" i="26"/>
  <c r="L68" i="26"/>
  <c r="M68" i="26"/>
  <c r="N68" i="26"/>
  <c r="O68" i="26"/>
  <c r="P68" i="26"/>
  <c r="L69" i="26"/>
  <c r="M69" i="26"/>
  <c r="N69" i="26"/>
  <c r="O69" i="26"/>
  <c r="P69" i="26"/>
  <c r="L70" i="26"/>
  <c r="M70" i="26"/>
  <c r="N70" i="26"/>
  <c r="O70" i="26"/>
  <c r="P70" i="26"/>
  <c r="L71" i="26"/>
  <c r="M71" i="26"/>
  <c r="N71" i="26"/>
  <c r="O71" i="26"/>
  <c r="P71" i="26"/>
  <c r="L72" i="26"/>
  <c r="M72" i="26"/>
  <c r="N72" i="26"/>
  <c r="O72" i="26"/>
  <c r="P72" i="26"/>
  <c r="L73" i="26"/>
  <c r="M73" i="26"/>
  <c r="N73" i="26"/>
  <c r="O73" i="26"/>
  <c r="P73" i="26"/>
  <c r="L74" i="26"/>
  <c r="M74" i="26"/>
  <c r="N74" i="26"/>
  <c r="O74" i="26"/>
  <c r="P74" i="26"/>
  <c r="L75" i="26"/>
  <c r="M75" i="26"/>
  <c r="N75" i="26"/>
  <c r="O75" i="26"/>
  <c r="P75" i="26"/>
  <c r="L76" i="26"/>
  <c r="M76" i="26"/>
  <c r="N76" i="26"/>
  <c r="O76" i="26"/>
  <c r="P76" i="26"/>
  <c r="L77" i="26"/>
  <c r="M77" i="26"/>
  <c r="N77" i="26"/>
  <c r="O77" i="26"/>
  <c r="P77" i="26"/>
  <c r="L78" i="26"/>
  <c r="M78" i="26"/>
  <c r="N78" i="26"/>
  <c r="O78" i="26"/>
  <c r="P78" i="26"/>
  <c r="L79" i="26"/>
  <c r="M79" i="26"/>
  <c r="N79" i="26"/>
  <c r="O79" i="26"/>
  <c r="P79" i="26"/>
  <c r="L80" i="26"/>
  <c r="M80" i="26"/>
  <c r="N80" i="26"/>
  <c r="O80" i="26"/>
  <c r="P80" i="26"/>
  <c r="L81" i="26"/>
  <c r="M81" i="26"/>
  <c r="N81" i="26"/>
  <c r="O81" i="26"/>
  <c r="P81" i="26"/>
  <c r="L82" i="26"/>
  <c r="M82" i="26"/>
  <c r="N82" i="26"/>
  <c r="O82" i="26"/>
  <c r="P82" i="26"/>
  <c r="L83" i="26"/>
  <c r="M83" i="26"/>
  <c r="N83" i="26"/>
  <c r="O83" i="26"/>
  <c r="P83" i="26"/>
  <c r="L84" i="26"/>
  <c r="M84" i="26"/>
  <c r="N84" i="26"/>
  <c r="O84" i="26"/>
  <c r="P84" i="26"/>
  <c r="L85" i="26"/>
  <c r="M85" i="26"/>
  <c r="N85" i="26"/>
  <c r="O85" i="26"/>
  <c r="P85" i="26"/>
  <c r="L86" i="26"/>
  <c r="M86" i="26"/>
  <c r="N86" i="26"/>
  <c r="O86" i="26"/>
  <c r="P86" i="26"/>
  <c r="L87" i="26"/>
  <c r="M87" i="26"/>
  <c r="N87" i="26"/>
  <c r="O87" i="26"/>
  <c r="P87" i="26"/>
  <c r="L88" i="26"/>
  <c r="M88" i="26"/>
  <c r="N88" i="26"/>
  <c r="O88" i="26"/>
  <c r="P88" i="26"/>
  <c r="L89" i="26"/>
  <c r="M89" i="26"/>
  <c r="N89" i="26"/>
  <c r="O89" i="26"/>
  <c r="P89" i="26"/>
  <c r="L90" i="26"/>
  <c r="M90" i="26"/>
  <c r="N90" i="26"/>
  <c r="O90" i="26"/>
  <c r="P90" i="26"/>
  <c r="L91" i="26"/>
  <c r="M91" i="26"/>
  <c r="N91" i="26"/>
  <c r="O91" i="26"/>
  <c r="P91" i="26"/>
  <c r="L92" i="26"/>
  <c r="M92" i="26"/>
  <c r="N92" i="26"/>
  <c r="O92" i="26"/>
  <c r="P92" i="26"/>
  <c r="L93" i="26"/>
  <c r="M93" i="26"/>
  <c r="N93" i="26"/>
  <c r="O93" i="26"/>
  <c r="P93" i="26"/>
  <c r="L94" i="26"/>
  <c r="M94" i="26"/>
  <c r="N94" i="26"/>
  <c r="O94" i="26"/>
  <c r="P94" i="26"/>
  <c r="L95" i="26"/>
  <c r="M95" i="26"/>
  <c r="N95" i="26"/>
  <c r="O95" i="26"/>
  <c r="P95" i="26"/>
  <c r="L96" i="26"/>
  <c r="M96" i="26"/>
  <c r="N96" i="26"/>
  <c r="O96" i="26"/>
  <c r="P96" i="26"/>
  <c r="L97" i="26"/>
  <c r="M97" i="26"/>
  <c r="N97" i="26"/>
  <c r="O97" i="26"/>
  <c r="P97" i="26"/>
  <c r="L98" i="26"/>
  <c r="M98" i="26"/>
  <c r="N98" i="26"/>
  <c r="O98" i="26"/>
  <c r="P98" i="26"/>
  <c r="L99" i="26"/>
  <c r="M99" i="26"/>
  <c r="N99" i="26"/>
  <c r="O99" i="26"/>
  <c r="P99" i="26"/>
  <c r="L100" i="26"/>
  <c r="M100" i="26"/>
  <c r="N100" i="26"/>
  <c r="O100" i="26"/>
  <c r="P100" i="26"/>
  <c r="L101" i="26"/>
  <c r="M101" i="26"/>
  <c r="N101" i="26"/>
  <c r="O101" i="26"/>
  <c r="P101" i="26"/>
  <c r="L102" i="26"/>
  <c r="M102" i="26"/>
  <c r="N102" i="26"/>
  <c r="O102" i="26"/>
  <c r="P102" i="26"/>
  <c r="L103" i="26"/>
  <c r="M103" i="26"/>
  <c r="N103" i="26"/>
  <c r="O103" i="26"/>
  <c r="P103" i="26"/>
  <c r="L104" i="26"/>
  <c r="M104" i="26"/>
  <c r="N104" i="26"/>
  <c r="O104" i="26"/>
  <c r="P104" i="26"/>
  <c r="L105" i="26"/>
  <c r="M105" i="26"/>
  <c r="N105" i="26"/>
  <c r="O105" i="26"/>
  <c r="P105" i="26"/>
  <c r="L106" i="26"/>
  <c r="M106" i="26"/>
  <c r="N106" i="26"/>
  <c r="O106" i="26"/>
  <c r="P106" i="26"/>
  <c r="L107" i="26"/>
  <c r="M107" i="26"/>
  <c r="N107" i="26"/>
  <c r="O107" i="26"/>
  <c r="P107" i="26"/>
  <c r="L108" i="26"/>
  <c r="M108" i="26"/>
  <c r="N108" i="26"/>
  <c r="O108" i="26"/>
  <c r="P108" i="26"/>
  <c r="L109" i="26"/>
  <c r="M109" i="26"/>
  <c r="N109" i="26"/>
  <c r="O109" i="26"/>
  <c r="P109" i="26"/>
  <c r="L110" i="26"/>
  <c r="M110" i="26"/>
  <c r="N110" i="26"/>
  <c r="O110" i="26"/>
  <c r="P110" i="26"/>
  <c r="L111" i="26"/>
  <c r="M111" i="26"/>
  <c r="N111" i="26"/>
  <c r="O111" i="26"/>
  <c r="P111" i="26"/>
  <c r="L112" i="26"/>
  <c r="M112" i="26"/>
  <c r="N112" i="26"/>
  <c r="O112" i="26"/>
  <c r="P112" i="26"/>
  <c r="L113" i="26"/>
  <c r="M113" i="26"/>
  <c r="N113" i="26"/>
  <c r="O113" i="26"/>
  <c r="P113" i="26"/>
  <c r="L114" i="26"/>
  <c r="M114" i="26"/>
  <c r="N114" i="26"/>
  <c r="O114" i="26"/>
  <c r="P114" i="26"/>
  <c r="L115" i="26"/>
  <c r="M115" i="26"/>
  <c r="N115" i="26"/>
  <c r="O115" i="26"/>
  <c r="P115" i="26"/>
  <c r="L116" i="26"/>
  <c r="M116" i="26"/>
  <c r="N116" i="26"/>
  <c r="O116" i="26"/>
  <c r="P116" i="26"/>
  <c r="L117" i="26"/>
  <c r="M117" i="26"/>
  <c r="N117" i="26"/>
  <c r="O117" i="26"/>
  <c r="P117" i="26"/>
  <c r="L118" i="26"/>
  <c r="M118" i="26"/>
  <c r="N118" i="26"/>
  <c r="O118" i="26"/>
  <c r="P118" i="26"/>
  <c r="L119" i="26"/>
  <c r="M119" i="26"/>
  <c r="N119" i="26"/>
  <c r="O119" i="26"/>
  <c r="P119" i="26"/>
  <c r="L120" i="26"/>
  <c r="M120" i="26"/>
  <c r="N120" i="26"/>
  <c r="O120" i="26"/>
  <c r="P120" i="26"/>
  <c r="L121" i="26"/>
  <c r="M121" i="26"/>
  <c r="N121" i="26"/>
  <c r="O121" i="26"/>
  <c r="P121" i="26"/>
  <c r="L122" i="26"/>
  <c r="M122" i="26"/>
  <c r="N122" i="26"/>
  <c r="O122" i="26"/>
  <c r="P122" i="26"/>
  <c r="L123" i="26"/>
  <c r="M123" i="26"/>
  <c r="N123" i="26"/>
  <c r="O123" i="26"/>
  <c r="P123" i="26"/>
  <c r="L124" i="26"/>
  <c r="M124" i="26"/>
  <c r="N124" i="26"/>
  <c r="O124" i="26"/>
  <c r="P124" i="26"/>
  <c r="L125" i="26"/>
  <c r="M125" i="26"/>
  <c r="N125" i="26"/>
  <c r="O125" i="26"/>
  <c r="P125" i="26"/>
  <c r="L126" i="26"/>
  <c r="M126" i="26"/>
  <c r="N126" i="26"/>
  <c r="O126" i="26"/>
  <c r="P126" i="26"/>
  <c r="L127" i="26"/>
  <c r="M127" i="26"/>
  <c r="N127" i="26"/>
  <c r="O127" i="26"/>
  <c r="P127" i="26"/>
  <c r="L128" i="26"/>
  <c r="M128" i="26"/>
  <c r="N128" i="26"/>
  <c r="O128" i="26"/>
  <c r="P128" i="26"/>
  <c r="L129" i="26"/>
  <c r="M129" i="26"/>
  <c r="N129" i="26"/>
  <c r="O129" i="26"/>
  <c r="P129" i="26"/>
  <c r="L130" i="26"/>
  <c r="M130" i="26"/>
  <c r="N130" i="26"/>
  <c r="O130" i="26"/>
  <c r="P130" i="26"/>
  <c r="L131" i="26"/>
  <c r="M131" i="26"/>
  <c r="N131" i="26"/>
  <c r="O131" i="26"/>
  <c r="P131" i="26"/>
  <c r="L132" i="26"/>
  <c r="M132" i="26"/>
  <c r="N132" i="26"/>
  <c r="O132" i="26"/>
  <c r="P132" i="26"/>
  <c r="L133" i="26"/>
  <c r="M133" i="26"/>
  <c r="N133" i="26"/>
  <c r="O133" i="26"/>
  <c r="P133" i="26"/>
  <c r="L134" i="26"/>
  <c r="M134" i="26"/>
  <c r="N134" i="26"/>
  <c r="O134" i="26"/>
  <c r="P134" i="26"/>
  <c r="L135" i="26"/>
  <c r="M135" i="26"/>
  <c r="N135" i="26"/>
  <c r="O135" i="26"/>
  <c r="P135" i="26"/>
  <c r="L136" i="26"/>
  <c r="M136" i="26"/>
  <c r="N136" i="26"/>
  <c r="O136" i="26"/>
  <c r="P136" i="26"/>
  <c r="L137" i="26"/>
  <c r="M137" i="26"/>
  <c r="N137" i="26"/>
  <c r="O137" i="26"/>
  <c r="P137" i="26"/>
  <c r="L138" i="26"/>
  <c r="M138" i="26"/>
  <c r="N138" i="26"/>
  <c r="O138" i="26"/>
  <c r="P138" i="26"/>
  <c r="L139" i="26"/>
  <c r="M139" i="26"/>
  <c r="N139" i="26"/>
  <c r="O139" i="26"/>
  <c r="P139" i="26"/>
  <c r="L140" i="26"/>
  <c r="M140" i="26"/>
  <c r="N140" i="26"/>
  <c r="O140" i="26"/>
  <c r="P140" i="26"/>
  <c r="L141" i="26"/>
  <c r="M141" i="26"/>
  <c r="N141" i="26"/>
  <c r="O141" i="26"/>
  <c r="P141" i="26"/>
  <c r="L142" i="26"/>
  <c r="M142" i="26"/>
  <c r="N142" i="26"/>
  <c r="O142" i="26"/>
  <c r="P142" i="26"/>
  <c r="L143" i="26"/>
  <c r="M143" i="26"/>
  <c r="N143" i="26"/>
  <c r="O143" i="26"/>
  <c r="P143" i="26"/>
  <c r="L144" i="26"/>
  <c r="M144" i="26"/>
  <c r="N144" i="26"/>
  <c r="O144" i="26"/>
  <c r="P144" i="26"/>
  <c r="L145" i="26"/>
  <c r="M145" i="26"/>
  <c r="N145" i="26"/>
  <c r="O145" i="26"/>
  <c r="P145" i="26"/>
  <c r="L146" i="26"/>
  <c r="M146" i="26"/>
  <c r="N146" i="26"/>
  <c r="O146" i="26"/>
  <c r="P146" i="26"/>
  <c r="L147" i="26"/>
  <c r="M147" i="26"/>
  <c r="N147" i="26"/>
  <c r="O147" i="26"/>
  <c r="P147" i="26"/>
  <c r="L148" i="26"/>
  <c r="M148" i="26"/>
  <c r="N148" i="26"/>
  <c r="O148" i="26"/>
  <c r="P148" i="26"/>
  <c r="L149" i="26"/>
  <c r="M149" i="26"/>
  <c r="N149" i="26"/>
  <c r="O149" i="26"/>
  <c r="P149" i="26"/>
  <c r="L150" i="26"/>
  <c r="M150" i="26"/>
  <c r="N150" i="26"/>
  <c r="O150" i="26"/>
  <c r="P150" i="26"/>
  <c r="L151" i="26"/>
  <c r="M151" i="26"/>
  <c r="N151" i="26"/>
  <c r="O151" i="26"/>
  <c r="P151" i="26"/>
  <c r="L152" i="26"/>
  <c r="M152" i="26"/>
  <c r="N152" i="26"/>
  <c r="O152" i="26"/>
  <c r="P152" i="26"/>
  <c r="L153" i="26"/>
  <c r="M153" i="26"/>
  <c r="N153" i="26"/>
  <c r="O153" i="26"/>
  <c r="P153" i="26"/>
  <c r="L154" i="26"/>
  <c r="M154" i="26"/>
  <c r="N154" i="26"/>
  <c r="O154" i="26"/>
  <c r="P154" i="26"/>
  <c r="L155" i="26"/>
  <c r="M155" i="26"/>
  <c r="N155" i="26"/>
  <c r="O155" i="26"/>
  <c r="P155" i="26"/>
  <c r="L156" i="26"/>
  <c r="M156" i="26"/>
  <c r="N156" i="26"/>
  <c r="O156" i="26"/>
  <c r="P156" i="26"/>
  <c r="L157" i="26"/>
  <c r="M157" i="26"/>
  <c r="N157" i="26"/>
  <c r="O157" i="26"/>
  <c r="P157" i="26"/>
  <c r="L158" i="26"/>
  <c r="M158" i="26"/>
  <c r="N158" i="26"/>
  <c r="O158" i="26"/>
  <c r="P158" i="26"/>
  <c r="L159" i="26"/>
  <c r="M159" i="26"/>
  <c r="N159" i="26"/>
  <c r="O159" i="26"/>
  <c r="P159" i="26"/>
  <c r="L160" i="26"/>
  <c r="M160" i="26"/>
  <c r="N160" i="26"/>
  <c r="O160" i="26"/>
  <c r="P160" i="26"/>
  <c r="L161" i="26"/>
  <c r="M161" i="26"/>
  <c r="N161" i="26"/>
  <c r="O161" i="26"/>
  <c r="P161" i="26"/>
  <c r="L162" i="26"/>
  <c r="M162" i="26"/>
  <c r="N162" i="26"/>
  <c r="O162" i="26"/>
  <c r="P162" i="26"/>
  <c r="L163" i="26"/>
  <c r="M163" i="26"/>
  <c r="N163" i="26"/>
  <c r="O163" i="26"/>
  <c r="P163" i="26"/>
  <c r="L164" i="26"/>
  <c r="M164" i="26"/>
  <c r="N164" i="26"/>
  <c r="O164" i="26"/>
  <c r="P164" i="26"/>
  <c r="L165" i="26"/>
  <c r="M165" i="26"/>
  <c r="N165" i="26"/>
  <c r="O165" i="26"/>
  <c r="P165" i="26"/>
  <c r="L166" i="26"/>
  <c r="M166" i="26"/>
  <c r="N166" i="26"/>
  <c r="O166" i="26"/>
  <c r="P166" i="26"/>
  <c r="L167" i="26"/>
  <c r="M167" i="26"/>
  <c r="N167" i="26"/>
  <c r="O167" i="26"/>
  <c r="P167" i="26"/>
  <c r="L168" i="26"/>
  <c r="M168" i="26"/>
  <c r="N168" i="26"/>
  <c r="O168" i="26"/>
  <c r="P168" i="26"/>
  <c r="L169" i="26"/>
  <c r="M169" i="26"/>
  <c r="N169" i="26"/>
  <c r="O169" i="26"/>
  <c r="P169" i="26"/>
  <c r="L170" i="26"/>
  <c r="M170" i="26"/>
  <c r="N170" i="26"/>
  <c r="O170" i="26"/>
  <c r="P170" i="26"/>
  <c r="L171" i="26"/>
  <c r="M171" i="26"/>
  <c r="N171" i="26"/>
  <c r="O171" i="26"/>
  <c r="P171" i="26"/>
  <c r="L172" i="26"/>
  <c r="M172" i="26"/>
  <c r="N172" i="26"/>
  <c r="O172" i="26"/>
  <c r="P172" i="26"/>
  <c r="L173" i="26"/>
  <c r="M173" i="26"/>
  <c r="N173" i="26"/>
  <c r="O173" i="26"/>
  <c r="P173" i="26"/>
  <c r="L174" i="26"/>
  <c r="M174" i="26"/>
  <c r="N174" i="26"/>
  <c r="O174" i="26"/>
  <c r="P174" i="26"/>
  <c r="L175" i="26"/>
  <c r="M175" i="26"/>
  <c r="N175" i="26"/>
  <c r="O175" i="26"/>
  <c r="P175" i="26"/>
  <c r="L176" i="26"/>
  <c r="M176" i="26"/>
  <c r="N176" i="26"/>
  <c r="O176" i="26"/>
  <c r="P176" i="26"/>
  <c r="L177" i="26"/>
  <c r="M177" i="26"/>
  <c r="N177" i="26"/>
  <c r="O177" i="26"/>
  <c r="P177" i="26"/>
  <c r="L178" i="26"/>
  <c r="M178" i="26"/>
  <c r="N178" i="26"/>
  <c r="O178" i="26"/>
  <c r="P178" i="26"/>
  <c r="L179" i="26"/>
  <c r="M179" i="26"/>
  <c r="N179" i="26"/>
  <c r="O179" i="26"/>
  <c r="P179" i="26"/>
  <c r="M2" i="26"/>
  <c r="N2" i="26"/>
  <c r="O2" i="26"/>
  <c r="P2" i="26"/>
  <c r="L2" i="26"/>
  <c r="M21" i="27"/>
  <c r="M18" i="27"/>
  <c r="M13" i="27"/>
  <c r="M12" i="27"/>
  <c r="M20" i="27"/>
  <c r="M17" i="27"/>
  <c r="M16" i="27"/>
  <c r="M25" i="27"/>
  <c r="M26" i="27"/>
  <c r="M27" i="27"/>
  <c r="M28" i="27"/>
  <c r="M29" i="27"/>
  <c r="M30" i="27"/>
  <c r="M31" i="27"/>
  <c r="M24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P13" i="27"/>
  <c r="P14" i="27"/>
  <c r="P15" i="27"/>
  <c r="P16" i="27"/>
  <c r="P17" i="27"/>
  <c r="P18" i="27"/>
  <c r="P19" i="27"/>
  <c r="P20" i="27"/>
  <c r="P21" i="27"/>
  <c r="P22" i="27"/>
  <c r="P23" i="27"/>
  <c r="P24" i="27"/>
  <c r="P25" i="27"/>
  <c r="P26" i="27"/>
  <c r="P27" i="27"/>
  <c r="P28" i="27"/>
  <c r="P29" i="27"/>
  <c r="P30" i="27"/>
  <c r="P31" i="27"/>
  <c r="N13" i="27"/>
  <c r="N14" i="27"/>
  <c r="N15" i="27"/>
  <c r="N16" i="27"/>
  <c r="N17" i="27"/>
  <c r="N18" i="27"/>
  <c r="N19" i="27"/>
  <c r="N20" i="27"/>
  <c r="N21" i="27"/>
  <c r="N22" i="27"/>
  <c r="N23" i="27"/>
  <c r="N24" i="27"/>
  <c r="N25" i="27"/>
  <c r="N26" i="27"/>
  <c r="N27" i="27"/>
  <c r="N28" i="27"/>
  <c r="N29" i="27"/>
  <c r="N30" i="27"/>
  <c r="N31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" i="27"/>
  <c r="M3" i="27"/>
  <c r="N3" i="27"/>
  <c r="O3" i="27"/>
  <c r="P3" i="27"/>
  <c r="L4" i="27"/>
  <c r="M4" i="27"/>
  <c r="N4" i="27"/>
  <c r="O4" i="27"/>
  <c r="P4" i="27"/>
  <c r="L5" i="27"/>
  <c r="M5" i="27"/>
  <c r="N5" i="27"/>
  <c r="O5" i="27"/>
  <c r="P5" i="27"/>
  <c r="L6" i="27"/>
  <c r="M6" i="27"/>
  <c r="N6" i="27"/>
  <c r="O6" i="27"/>
  <c r="P6" i="27"/>
  <c r="L7" i="27"/>
  <c r="M7" i="27"/>
  <c r="N7" i="27"/>
  <c r="O7" i="27"/>
  <c r="P7" i="27"/>
  <c r="L8" i="27"/>
  <c r="M8" i="27"/>
  <c r="N8" i="27"/>
  <c r="O8" i="27"/>
  <c r="P8" i="27"/>
  <c r="L9" i="27"/>
  <c r="M9" i="27"/>
  <c r="N9" i="27"/>
  <c r="O9" i="27"/>
  <c r="P9" i="27"/>
  <c r="L10" i="27"/>
  <c r="M10" i="27"/>
  <c r="N10" i="27"/>
  <c r="O10" i="27"/>
  <c r="P10" i="27"/>
  <c r="L11" i="27"/>
  <c r="M11" i="27"/>
  <c r="N11" i="27"/>
  <c r="O11" i="27"/>
  <c r="P11" i="27"/>
  <c r="L12" i="27"/>
  <c r="N12" i="27"/>
  <c r="O12" i="27"/>
  <c r="P12" i="27"/>
  <c r="L2" i="27"/>
  <c r="M2" i="27"/>
  <c r="N2" i="27"/>
  <c r="O2" i="27"/>
  <c r="P2" i="27"/>
  <c r="L2" i="28"/>
  <c r="L3" i="28"/>
  <c r="M3" i="28"/>
  <c r="N3" i="28"/>
  <c r="O3" i="28"/>
  <c r="P3" i="28"/>
  <c r="L4" i="28"/>
  <c r="M4" i="28"/>
  <c r="N4" i="28"/>
  <c r="O4" i="28"/>
  <c r="P4" i="28"/>
  <c r="L5" i="28"/>
  <c r="M5" i="28"/>
  <c r="N5" i="28"/>
  <c r="O5" i="28"/>
  <c r="P5" i="28"/>
  <c r="L6" i="28"/>
  <c r="M6" i="28"/>
  <c r="N6" i="28"/>
  <c r="O6" i="28"/>
  <c r="P6" i="28"/>
  <c r="L7" i="28"/>
  <c r="M7" i="28"/>
  <c r="N7" i="28"/>
  <c r="O7" i="28"/>
  <c r="P7" i="28"/>
  <c r="L8" i="28"/>
  <c r="M8" i="28"/>
  <c r="N8" i="28"/>
  <c r="O8" i="28"/>
  <c r="P8" i="28"/>
  <c r="L9" i="28"/>
  <c r="M9" i="28"/>
  <c r="N9" i="28"/>
  <c r="O9" i="28"/>
  <c r="P9" i="28"/>
  <c r="L10" i="28"/>
  <c r="M10" i="28"/>
  <c r="N10" i="28"/>
  <c r="O10" i="28"/>
  <c r="P10" i="28"/>
  <c r="L11" i="28"/>
  <c r="M11" i="28"/>
  <c r="N11" i="28"/>
  <c r="O11" i="28"/>
  <c r="P11" i="28"/>
  <c r="L12" i="28"/>
  <c r="M12" i="28"/>
  <c r="N12" i="28"/>
  <c r="O12" i="28"/>
  <c r="P12" i="28"/>
  <c r="L13" i="28"/>
  <c r="M13" i="28"/>
  <c r="N13" i="28"/>
  <c r="O13" i="28"/>
  <c r="P13" i="28"/>
  <c r="L14" i="28"/>
  <c r="M14" i="28"/>
  <c r="N14" i="28"/>
  <c r="O14" i="28"/>
  <c r="P14" i="28"/>
  <c r="L15" i="28"/>
  <c r="M15" i="28"/>
  <c r="N15" i="28"/>
  <c r="O15" i="28"/>
  <c r="P15" i="28"/>
  <c r="L16" i="28"/>
  <c r="M16" i="28"/>
  <c r="N16" i="28"/>
  <c r="O16" i="28"/>
  <c r="P16" i="28"/>
  <c r="L17" i="28"/>
  <c r="M17" i="28"/>
  <c r="N17" i="28"/>
  <c r="O17" i="28"/>
  <c r="P17" i="28"/>
  <c r="L18" i="28"/>
  <c r="M18" i="28"/>
  <c r="N18" i="28"/>
  <c r="O18" i="28"/>
  <c r="P18" i="28"/>
  <c r="L19" i="28"/>
  <c r="M19" i="28"/>
  <c r="N19" i="28"/>
  <c r="O19" i="28"/>
  <c r="P19" i="28"/>
  <c r="L20" i="28"/>
  <c r="M20" i="28"/>
  <c r="N20" i="28"/>
  <c r="O20" i="28"/>
  <c r="P20" i="28"/>
  <c r="L21" i="28"/>
  <c r="M21" i="28"/>
  <c r="N21" i="28"/>
  <c r="O21" i="28"/>
  <c r="P21" i="28"/>
  <c r="L22" i="28"/>
  <c r="M22" i="28"/>
  <c r="N22" i="28"/>
  <c r="O22" i="28"/>
  <c r="P22" i="28"/>
  <c r="L23" i="28"/>
  <c r="M23" i="28"/>
  <c r="N23" i="28"/>
  <c r="O23" i="28"/>
  <c r="P23" i="28"/>
  <c r="L24" i="28"/>
  <c r="M24" i="28"/>
  <c r="N24" i="28"/>
  <c r="O24" i="28"/>
  <c r="P24" i="28"/>
  <c r="L25" i="28"/>
  <c r="M25" i="28"/>
  <c r="N25" i="28"/>
  <c r="O25" i="28"/>
  <c r="P25" i="28"/>
  <c r="L26" i="28"/>
  <c r="M26" i="28"/>
  <c r="N26" i="28"/>
  <c r="O26" i="28"/>
  <c r="P26" i="28"/>
  <c r="L27" i="28"/>
  <c r="M27" i="28"/>
  <c r="N27" i="28"/>
  <c r="O27" i="28"/>
  <c r="P27" i="28"/>
  <c r="L28" i="28"/>
  <c r="M28" i="28"/>
  <c r="N28" i="28"/>
  <c r="O28" i="28"/>
  <c r="P28" i="28"/>
  <c r="L29" i="28"/>
  <c r="M29" i="28"/>
  <c r="N29" i="28"/>
  <c r="O29" i="28"/>
  <c r="P29" i="28"/>
  <c r="L30" i="28"/>
  <c r="M30" i="28"/>
  <c r="N30" i="28"/>
  <c r="O30" i="28"/>
  <c r="P30" i="28"/>
  <c r="M2" i="28"/>
  <c r="N2" i="28"/>
  <c r="O2" i="28"/>
  <c r="P2" i="28"/>
  <c r="L2" i="29"/>
  <c r="L3" i="29"/>
  <c r="M3" i="29"/>
  <c r="N3" i="29"/>
  <c r="O3" i="29"/>
  <c r="P3" i="29"/>
  <c r="L4" i="29"/>
  <c r="M4" i="29"/>
  <c r="N4" i="29"/>
  <c r="O4" i="29"/>
  <c r="P4" i="29"/>
  <c r="L5" i="29"/>
  <c r="M5" i="29"/>
  <c r="N5" i="29"/>
  <c r="O5" i="29"/>
  <c r="P5" i="29"/>
  <c r="L6" i="29"/>
  <c r="M6" i="29"/>
  <c r="N6" i="29"/>
  <c r="O6" i="29"/>
  <c r="P6" i="29"/>
  <c r="L7" i="29"/>
  <c r="M7" i="29"/>
  <c r="N7" i="29"/>
  <c r="O7" i="29"/>
  <c r="P7" i="29"/>
  <c r="L8" i="29"/>
  <c r="M8" i="29"/>
  <c r="N8" i="29"/>
  <c r="O8" i="29"/>
  <c r="P8" i="29"/>
  <c r="L9" i="29"/>
  <c r="M9" i="29"/>
  <c r="N9" i="29"/>
  <c r="O9" i="29"/>
  <c r="P9" i="29"/>
  <c r="L10" i="29"/>
  <c r="M10" i="29"/>
  <c r="N10" i="29"/>
  <c r="O10" i="29"/>
  <c r="P10" i="29"/>
  <c r="L11" i="29"/>
  <c r="M11" i="29"/>
  <c r="N11" i="29"/>
  <c r="O11" i="29"/>
  <c r="P11" i="29"/>
  <c r="L12" i="29"/>
  <c r="M12" i="29"/>
  <c r="N12" i="29"/>
  <c r="O12" i="29"/>
  <c r="P12" i="29"/>
  <c r="L13" i="29"/>
  <c r="M13" i="29"/>
  <c r="N13" i="29"/>
  <c r="O13" i="29"/>
  <c r="P13" i="29"/>
  <c r="L14" i="29"/>
  <c r="M14" i="29"/>
  <c r="N14" i="29"/>
  <c r="O14" i="29"/>
  <c r="P14" i="29"/>
  <c r="L15" i="29"/>
  <c r="M15" i="29"/>
  <c r="N15" i="29"/>
  <c r="O15" i="29"/>
  <c r="P15" i="29"/>
  <c r="L16" i="29"/>
  <c r="M16" i="29"/>
  <c r="N16" i="29"/>
  <c r="O16" i="29"/>
  <c r="P16" i="29"/>
  <c r="L17" i="29"/>
  <c r="M17" i="29"/>
  <c r="N17" i="29"/>
  <c r="O17" i="29"/>
  <c r="P17" i="29"/>
  <c r="L18" i="29"/>
  <c r="M18" i="29"/>
  <c r="N18" i="29"/>
  <c r="O18" i="29"/>
  <c r="P18" i="29"/>
  <c r="L19" i="29"/>
  <c r="M19" i="29"/>
  <c r="N19" i="29"/>
  <c r="O19" i="29"/>
  <c r="P19" i="29"/>
  <c r="L20" i="29"/>
  <c r="M20" i="29"/>
  <c r="N20" i="29"/>
  <c r="O20" i="29"/>
  <c r="P20" i="29"/>
  <c r="L21" i="29"/>
  <c r="M21" i="29"/>
  <c r="N21" i="29"/>
  <c r="O21" i="29"/>
  <c r="P21" i="29"/>
  <c r="L22" i="29"/>
  <c r="M22" i="29"/>
  <c r="N22" i="29"/>
  <c r="O22" i="29"/>
  <c r="P22" i="29"/>
  <c r="L23" i="29"/>
  <c r="M23" i="29"/>
  <c r="N23" i="29"/>
  <c r="O23" i="29"/>
  <c r="P23" i="29"/>
  <c r="L24" i="29"/>
  <c r="M24" i="29"/>
  <c r="N24" i="29"/>
  <c r="O24" i="29"/>
  <c r="P24" i="29"/>
  <c r="L25" i="29"/>
  <c r="M25" i="29"/>
  <c r="N25" i="29"/>
  <c r="O25" i="29"/>
  <c r="P25" i="29"/>
  <c r="L26" i="29"/>
  <c r="M26" i="29"/>
  <c r="N26" i="29"/>
  <c r="O26" i="29"/>
  <c r="P26" i="29"/>
  <c r="L27" i="29"/>
  <c r="M27" i="29"/>
  <c r="N27" i="29"/>
  <c r="O27" i="29"/>
  <c r="P27" i="29"/>
  <c r="L28" i="29"/>
  <c r="M28" i="29"/>
  <c r="N28" i="29"/>
  <c r="O28" i="29"/>
  <c r="P28" i="29"/>
  <c r="L29" i="29"/>
  <c r="M29" i="29"/>
  <c r="N29" i="29"/>
  <c r="O29" i="29"/>
  <c r="P29" i="29"/>
  <c r="L30" i="29"/>
  <c r="M30" i="29"/>
  <c r="N30" i="29"/>
  <c r="O30" i="29"/>
  <c r="P30" i="29"/>
  <c r="L31" i="29"/>
  <c r="M31" i="29"/>
  <c r="N31" i="29"/>
  <c r="O31" i="29"/>
  <c r="P31" i="29"/>
  <c r="L32" i="29"/>
  <c r="M32" i="29"/>
  <c r="N32" i="29"/>
  <c r="O32" i="29"/>
  <c r="P32" i="29"/>
  <c r="L33" i="29"/>
  <c r="M33" i="29"/>
  <c r="N33" i="29"/>
  <c r="O33" i="29"/>
  <c r="P33" i="29"/>
  <c r="M2" i="29"/>
  <c r="N2" i="29"/>
  <c r="O2" i="29"/>
  <c r="P2" i="29"/>
  <c r="L3" i="30"/>
  <c r="M3" i="30"/>
  <c r="N3" i="30"/>
  <c r="O3" i="30"/>
  <c r="P3" i="30"/>
  <c r="L4" i="30"/>
  <c r="M4" i="30"/>
  <c r="N4" i="30"/>
  <c r="O4" i="30"/>
  <c r="P4" i="30"/>
  <c r="L5" i="30"/>
  <c r="M5" i="30"/>
  <c r="N5" i="30"/>
  <c r="O5" i="30"/>
  <c r="P5" i="30"/>
  <c r="L6" i="30"/>
  <c r="M6" i="30"/>
  <c r="N6" i="30"/>
  <c r="O6" i="30"/>
  <c r="P6" i="30"/>
  <c r="L7" i="30"/>
  <c r="M7" i="30"/>
  <c r="N7" i="30"/>
  <c r="O7" i="30"/>
  <c r="P7" i="30"/>
  <c r="L8" i="30"/>
  <c r="M8" i="30"/>
  <c r="N8" i="30"/>
  <c r="O8" i="30"/>
  <c r="P8" i="30"/>
  <c r="L9" i="30"/>
  <c r="M9" i="30"/>
  <c r="N9" i="30"/>
  <c r="O9" i="30"/>
  <c r="P9" i="30"/>
  <c r="L10" i="30"/>
  <c r="M10" i="30"/>
  <c r="N10" i="30"/>
  <c r="O10" i="30"/>
  <c r="P10" i="30"/>
  <c r="L11" i="30"/>
  <c r="M11" i="30"/>
  <c r="N11" i="30"/>
  <c r="O11" i="30"/>
  <c r="P11" i="30"/>
  <c r="L12" i="30"/>
  <c r="M12" i="30"/>
  <c r="N12" i="30"/>
  <c r="O12" i="30"/>
  <c r="P12" i="30"/>
  <c r="L13" i="30"/>
  <c r="M13" i="30"/>
  <c r="N13" i="30"/>
  <c r="O13" i="30"/>
  <c r="P13" i="30"/>
  <c r="L14" i="30"/>
  <c r="M14" i="30"/>
  <c r="N14" i="30"/>
  <c r="O14" i="30"/>
  <c r="P14" i="30"/>
  <c r="L15" i="30"/>
  <c r="M15" i="30"/>
  <c r="N15" i="30"/>
  <c r="O15" i="30"/>
  <c r="P15" i="30"/>
  <c r="L16" i="30"/>
  <c r="M16" i="30"/>
  <c r="N16" i="30"/>
  <c r="O16" i="30"/>
  <c r="P16" i="30"/>
  <c r="L17" i="30"/>
  <c r="M17" i="30"/>
  <c r="N17" i="30"/>
  <c r="O17" i="30"/>
  <c r="P17" i="30"/>
  <c r="L18" i="30"/>
  <c r="M18" i="30"/>
  <c r="N18" i="30"/>
  <c r="O18" i="30"/>
  <c r="P18" i="30"/>
  <c r="L19" i="30"/>
  <c r="M19" i="30"/>
  <c r="N19" i="30"/>
  <c r="O19" i="30"/>
  <c r="P19" i="30"/>
  <c r="L20" i="30"/>
  <c r="M20" i="30"/>
  <c r="N20" i="30"/>
  <c r="O20" i="30"/>
  <c r="P20" i="30"/>
  <c r="L21" i="30"/>
  <c r="M21" i="30"/>
  <c r="N21" i="30"/>
  <c r="O21" i="30"/>
  <c r="P21" i="30"/>
  <c r="L22" i="30"/>
  <c r="M22" i="30"/>
  <c r="N22" i="30"/>
  <c r="O22" i="30"/>
  <c r="P22" i="30"/>
  <c r="L23" i="30"/>
  <c r="M23" i="30"/>
  <c r="N23" i="30"/>
  <c r="O23" i="30"/>
  <c r="P23" i="30"/>
  <c r="L24" i="30"/>
  <c r="M24" i="30"/>
  <c r="N24" i="30"/>
  <c r="O24" i="30"/>
  <c r="P24" i="30"/>
  <c r="L25" i="30"/>
  <c r="M25" i="30"/>
  <c r="N25" i="30"/>
  <c r="O25" i="30"/>
  <c r="P25" i="30"/>
  <c r="L26" i="30"/>
  <c r="M26" i="30"/>
  <c r="N26" i="30"/>
  <c r="O26" i="30"/>
  <c r="P26" i="30"/>
  <c r="L27" i="30"/>
  <c r="M27" i="30"/>
  <c r="N27" i="30"/>
  <c r="O27" i="30"/>
  <c r="P27" i="30"/>
  <c r="L28" i="30"/>
  <c r="M28" i="30"/>
  <c r="N28" i="30"/>
  <c r="O28" i="30"/>
  <c r="P28" i="30"/>
  <c r="L29" i="30"/>
  <c r="M29" i="30"/>
  <c r="N29" i="30"/>
  <c r="O29" i="30"/>
  <c r="P29" i="30"/>
  <c r="L30" i="30"/>
  <c r="M30" i="30"/>
  <c r="N30" i="30"/>
  <c r="O30" i="30"/>
  <c r="P30" i="30"/>
  <c r="L31" i="30"/>
  <c r="M31" i="30"/>
  <c r="N31" i="30"/>
  <c r="O31" i="30"/>
  <c r="P31" i="30"/>
  <c r="M2" i="30"/>
  <c r="N2" i="30"/>
  <c r="O2" i="30"/>
  <c r="P2" i="30"/>
  <c r="L2" i="30"/>
  <c r="L2" i="31"/>
  <c r="L3" i="32"/>
  <c r="M3" i="32"/>
  <c r="N3" i="32"/>
  <c r="O3" i="32"/>
  <c r="P3" i="32"/>
  <c r="L4" i="32"/>
  <c r="M4" i="32"/>
  <c r="N4" i="32"/>
  <c r="O4" i="32"/>
  <c r="P4" i="32"/>
  <c r="L5" i="32"/>
  <c r="M5" i="32"/>
  <c r="N5" i="32"/>
  <c r="O5" i="32"/>
  <c r="P5" i="32"/>
  <c r="L6" i="32"/>
  <c r="M6" i="32"/>
  <c r="N6" i="32"/>
  <c r="O6" i="32"/>
  <c r="P6" i="32"/>
  <c r="L7" i="32"/>
  <c r="M7" i="32"/>
  <c r="N7" i="32"/>
  <c r="O7" i="32"/>
  <c r="P7" i="32"/>
  <c r="L8" i="32"/>
  <c r="M8" i="32"/>
  <c r="N8" i="32"/>
  <c r="O8" i="32"/>
  <c r="P8" i="32"/>
  <c r="L9" i="32"/>
  <c r="M9" i="32"/>
  <c r="N9" i="32"/>
  <c r="O9" i="32"/>
  <c r="P9" i="32"/>
  <c r="L10" i="32"/>
  <c r="M10" i="32"/>
  <c r="N10" i="32"/>
  <c r="O10" i="32"/>
  <c r="P10" i="32"/>
  <c r="L11" i="32"/>
  <c r="M11" i="32"/>
  <c r="N11" i="32"/>
  <c r="O11" i="32"/>
  <c r="P11" i="32"/>
  <c r="L12" i="32"/>
  <c r="M12" i="32"/>
  <c r="N12" i="32"/>
  <c r="O12" i="32"/>
  <c r="P12" i="32"/>
  <c r="L13" i="32"/>
  <c r="M13" i="32"/>
  <c r="N13" i="32"/>
  <c r="O13" i="32"/>
  <c r="P13" i="32"/>
  <c r="L14" i="32"/>
  <c r="M14" i="32"/>
  <c r="N14" i="32"/>
  <c r="O14" i="32"/>
  <c r="P14" i="32"/>
  <c r="L15" i="32"/>
  <c r="M15" i="32"/>
  <c r="N15" i="32"/>
  <c r="O15" i="32"/>
  <c r="P15" i="32"/>
  <c r="L16" i="32"/>
  <c r="M16" i="32"/>
  <c r="N16" i="32"/>
  <c r="O16" i="32"/>
  <c r="P16" i="32"/>
  <c r="L17" i="32"/>
  <c r="M17" i="32"/>
  <c r="N17" i="32"/>
  <c r="O17" i="32"/>
  <c r="P17" i="32"/>
  <c r="L18" i="32"/>
  <c r="M18" i="32"/>
  <c r="N18" i="32"/>
  <c r="O18" i="32"/>
  <c r="P18" i="32"/>
  <c r="L19" i="32"/>
  <c r="M19" i="32"/>
  <c r="N19" i="32"/>
  <c r="O19" i="32"/>
  <c r="P19" i="32"/>
  <c r="L20" i="32"/>
  <c r="M20" i="32"/>
  <c r="N20" i="32"/>
  <c r="O20" i="32"/>
  <c r="P20" i="32"/>
  <c r="L21" i="32"/>
  <c r="M21" i="32"/>
  <c r="N21" i="32"/>
  <c r="O21" i="32"/>
  <c r="P21" i="32"/>
  <c r="L22" i="32"/>
  <c r="M22" i="32"/>
  <c r="N22" i="32"/>
  <c r="O22" i="32"/>
  <c r="P22" i="32"/>
  <c r="L23" i="32"/>
  <c r="M23" i="32"/>
  <c r="N23" i="32"/>
  <c r="O23" i="32"/>
  <c r="P23" i="32"/>
  <c r="L24" i="32"/>
  <c r="M24" i="32"/>
  <c r="N24" i="32"/>
  <c r="O24" i="32"/>
  <c r="P24" i="32"/>
  <c r="L25" i="32"/>
  <c r="M25" i="32"/>
  <c r="N25" i="32"/>
  <c r="O25" i="32"/>
  <c r="P25" i="32"/>
  <c r="L26" i="32"/>
  <c r="M26" i="32"/>
  <c r="N26" i="32"/>
  <c r="O26" i="32"/>
  <c r="P26" i="32"/>
  <c r="L27" i="32"/>
  <c r="M27" i="32"/>
  <c r="N27" i="32"/>
  <c r="O27" i="32"/>
  <c r="P27" i="32"/>
  <c r="L28" i="32"/>
  <c r="M28" i="32"/>
  <c r="N28" i="32"/>
  <c r="O28" i="32"/>
  <c r="P28" i="32"/>
  <c r="L29" i="32"/>
  <c r="M29" i="32"/>
  <c r="N29" i="32"/>
  <c r="O29" i="32"/>
  <c r="P29" i="32"/>
  <c r="L30" i="32"/>
  <c r="M30" i="32"/>
  <c r="N30" i="32"/>
  <c r="O30" i="32"/>
  <c r="P30" i="32"/>
  <c r="L31" i="32"/>
  <c r="M31" i="32"/>
  <c r="N31" i="32"/>
  <c r="O31" i="32"/>
  <c r="P31" i="32"/>
  <c r="M2" i="32"/>
  <c r="N2" i="32"/>
  <c r="O2" i="32"/>
  <c r="P2" i="32"/>
  <c r="L2" i="32"/>
  <c r="L3" i="31"/>
  <c r="M3" i="31"/>
  <c r="N3" i="31"/>
  <c r="O3" i="31"/>
  <c r="P3" i="31"/>
  <c r="L4" i="31"/>
  <c r="M4" i="31"/>
  <c r="N4" i="31"/>
  <c r="O4" i="31"/>
  <c r="P4" i="31"/>
  <c r="L5" i="31"/>
  <c r="M5" i="31"/>
  <c r="N5" i="31"/>
  <c r="O5" i="31"/>
  <c r="P5" i="31"/>
  <c r="L6" i="31"/>
  <c r="M6" i="31"/>
  <c r="N6" i="31"/>
  <c r="O6" i="31"/>
  <c r="P6" i="31"/>
  <c r="L7" i="31"/>
  <c r="M7" i="31"/>
  <c r="N7" i="31"/>
  <c r="O7" i="31"/>
  <c r="P7" i="31"/>
  <c r="L8" i="31"/>
  <c r="M8" i="31"/>
  <c r="N8" i="31"/>
  <c r="O8" i="31"/>
  <c r="P8" i="31"/>
  <c r="L9" i="31"/>
  <c r="M9" i="31"/>
  <c r="N9" i="31"/>
  <c r="O9" i="31"/>
  <c r="P9" i="31"/>
  <c r="L10" i="31"/>
  <c r="M10" i="31"/>
  <c r="N10" i="31"/>
  <c r="O10" i="31"/>
  <c r="P10" i="31"/>
  <c r="L11" i="31"/>
  <c r="M11" i="31"/>
  <c r="N11" i="31"/>
  <c r="O11" i="31"/>
  <c r="P11" i="31"/>
  <c r="L12" i="31"/>
  <c r="M12" i="31"/>
  <c r="N12" i="31"/>
  <c r="O12" i="31"/>
  <c r="P12" i="31"/>
  <c r="L13" i="31"/>
  <c r="M13" i="31"/>
  <c r="N13" i="31"/>
  <c r="O13" i="31"/>
  <c r="P13" i="31"/>
  <c r="L14" i="31"/>
  <c r="M14" i="31"/>
  <c r="N14" i="31"/>
  <c r="O14" i="31"/>
  <c r="P14" i="31"/>
  <c r="L15" i="31"/>
  <c r="M15" i="31"/>
  <c r="N15" i="31"/>
  <c r="O15" i="31"/>
  <c r="P15" i="31"/>
  <c r="L16" i="31"/>
  <c r="M16" i="31"/>
  <c r="N16" i="31"/>
  <c r="O16" i="31"/>
  <c r="P16" i="31"/>
  <c r="L17" i="31"/>
  <c r="M17" i="31"/>
  <c r="N17" i="31"/>
  <c r="O17" i="31"/>
  <c r="P17" i="31"/>
  <c r="L18" i="31"/>
  <c r="M18" i="31"/>
  <c r="N18" i="31"/>
  <c r="O18" i="31"/>
  <c r="P18" i="31"/>
  <c r="L19" i="31"/>
  <c r="M19" i="31"/>
  <c r="N19" i="31"/>
  <c r="O19" i="31"/>
  <c r="P19" i="31"/>
  <c r="L20" i="31"/>
  <c r="M20" i="31"/>
  <c r="N20" i="31"/>
  <c r="O20" i="31"/>
  <c r="P20" i="31"/>
  <c r="L21" i="31"/>
  <c r="M21" i="31"/>
  <c r="N21" i="31"/>
  <c r="O21" i="31"/>
  <c r="P21" i="31"/>
  <c r="L22" i="31"/>
  <c r="M22" i="31"/>
  <c r="N22" i="31"/>
  <c r="O22" i="31"/>
  <c r="P22" i="31"/>
  <c r="L23" i="31"/>
  <c r="M23" i="31"/>
  <c r="N23" i="31"/>
  <c r="O23" i="31"/>
  <c r="P23" i="31"/>
  <c r="L24" i="31"/>
  <c r="M24" i="31"/>
  <c r="N24" i="31"/>
  <c r="O24" i="31"/>
  <c r="P24" i="31"/>
  <c r="L25" i="31"/>
  <c r="M25" i="31"/>
  <c r="N25" i="31"/>
  <c r="O25" i="31"/>
  <c r="P25" i="31"/>
  <c r="L26" i="31"/>
  <c r="M26" i="31"/>
  <c r="N26" i="31"/>
  <c r="O26" i="31"/>
  <c r="P26" i="31"/>
  <c r="L27" i="31"/>
  <c r="M27" i="31"/>
  <c r="N27" i="31"/>
  <c r="O27" i="31"/>
  <c r="P27" i="31"/>
  <c r="L28" i="31"/>
  <c r="M28" i="31"/>
  <c r="N28" i="31"/>
  <c r="O28" i="31"/>
  <c r="P28" i="31"/>
  <c r="L29" i="31"/>
  <c r="M29" i="31"/>
  <c r="N29" i="31"/>
  <c r="O29" i="31"/>
  <c r="P29" i="31"/>
  <c r="L30" i="31"/>
  <c r="M30" i="31"/>
  <c r="N30" i="31"/>
  <c r="O30" i="31"/>
  <c r="P30" i="31"/>
  <c r="L31" i="31"/>
  <c r="M31" i="31"/>
  <c r="N31" i="31"/>
  <c r="O31" i="31"/>
  <c r="P31" i="31"/>
  <c r="M2" i="31"/>
  <c r="N2" i="31"/>
  <c r="O2" i="31"/>
  <c r="P2" i="31"/>
</calcChain>
</file>

<file path=xl/sharedStrings.xml><?xml version="1.0" encoding="utf-8"?>
<sst xmlns="http://schemas.openxmlformats.org/spreadsheetml/2006/main" count="2364" uniqueCount="144">
  <si>
    <r>
      <rPr>
        <b/>
        <sz val="8"/>
        <rFont val="Cambria"/>
        <family val="1"/>
      </rPr>
      <t xml:space="preserve">Sl.
</t>
    </r>
    <r>
      <rPr>
        <b/>
        <sz val="8"/>
        <rFont val="Cambria"/>
        <family val="1"/>
      </rPr>
      <t>No.</t>
    </r>
  </si>
  <si>
    <r>
      <rPr>
        <b/>
        <sz val="8"/>
        <rFont val="Cambria"/>
        <family val="1"/>
      </rPr>
      <t>Parameters</t>
    </r>
  </si>
  <si>
    <r>
      <rPr>
        <b/>
        <sz val="8"/>
        <rFont val="Cambria"/>
        <family val="1"/>
      </rPr>
      <t>Benchmarks</t>
    </r>
  </si>
  <si>
    <r>
      <rPr>
        <b/>
        <sz val="8"/>
        <rFont val="Cambria"/>
        <family val="1"/>
      </rPr>
      <t>Generations</t>
    </r>
  </si>
  <si>
    <r>
      <rPr>
        <b/>
        <sz val="8"/>
        <rFont val="Cambria"/>
        <family val="1"/>
      </rPr>
      <t>Airtel</t>
    </r>
  </si>
  <si>
    <r>
      <rPr>
        <b/>
        <sz val="8"/>
        <rFont val="Cambria"/>
        <family val="1"/>
      </rPr>
      <t>BSNL</t>
    </r>
  </si>
  <si>
    <r>
      <rPr>
        <b/>
        <sz val="8"/>
        <rFont val="Cambria"/>
        <family val="1"/>
      </rPr>
      <t>MTNL</t>
    </r>
  </si>
  <si>
    <r>
      <rPr>
        <b/>
        <sz val="8"/>
        <rFont val="Cambria"/>
        <family val="1"/>
      </rPr>
      <t>Reliance  JIO</t>
    </r>
  </si>
  <si>
    <r>
      <rPr>
        <b/>
        <sz val="8"/>
        <rFont val="Cambria"/>
        <family val="1"/>
      </rPr>
      <t>VIL</t>
    </r>
  </si>
  <si>
    <r>
      <rPr>
        <sz val="8"/>
        <rFont val="Cambria"/>
        <family val="1"/>
      </rPr>
      <t xml:space="preserve">Service  Activation
</t>
    </r>
    <r>
      <rPr>
        <sz val="8"/>
        <rFont val="Cambria"/>
        <family val="1"/>
      </rPr>
      <t>/Provisioning</t>
    </r>
  </si>
  <si>
    <r>
      <rPr>
        <sz val="8"/>
        <rFont val="Cambria"/>
        <family val="1"/>
      </rPr>
      <t>Within 4 hrs with 95%  success rate.</t>
    </r>
  </si>
  <si>
    <r>
      <rPr>
        <sz val="8"/>
        <rFont val="Cambria"/>
        <family val="1"/>
      </rPr>
      <t>All Generations</t>
    </r>
  </si>
  <si>
    <r>
      <rPr>
        <sz val="8"/>
        <rFont val="Cambria"/>
        <family val="1"/>
      </rPr>
      <t>2G</t>
    </r>
  </si>
  <si>
    <r>
      <rPr>
        <sz val="8"/>
        <rFont val="Cambria"/>
        <family val="1"/>
      </rPr>
      <t>3G</t>
    </r>
  </si>
  <si>
    <r>
      <rPr>
        <sz val="8"/>
        <rFont val="Cambria"/>
        <family val="1"/>
      </rPr>
      <t>Successful data transmission download attempts</t>
    </r>
  </si>
  <si>
    <r>
      <rPr>
        <sz val="8"/>
        <rFont val="Cambria"/>
        <family val="1"/>
      </rPr>
      <t>&gt;80%</t>
    </r>
  </si>
  <si>
    <r>
      <rPr>
        <sz val="8"/>
        <rFont val="Cambria"/>
        <family val="1"/>
      </rPr>
      <t>2G (GSM)</t>
    </r>
  </si>
  <si>
    <r>
      <rPr>
        <sz val="8"/>
        <rFont val="Cambria"/>
        <family val="1"/>
      </rPr>
      <t>4G</t>
    </r>
  </si>
  <si>
    <r>
      <rPr>
        <sz val="8"/>
        <rFont val="Cambria"/>
        <family val="1"/>
      </rPr>
      <t>Successful data transmission upload attempts</t>
    </r>
  </si>
  <si>
    <r>
      <rPr>
        <sz val="8"/>
        <rFont val="Cambria"/>
        <family val="1"/>
      </rPr>
      <t>&gt;75%</t>
    </r>
  </si>
  <si>
    <r>
      <rPr>
        <sz val="8"/>
        <rFont val="Cambria"/>
        <family val="1"/>
      </rPr>
      <t>Minimum download speed (Kbps)</t>
    </r>
  </si>
  <si>
    <r>
      <rPr>
        <sz val="8"/>
        <rFont val="Cambria"/>
        <family val="1"/>
      </rPr>
      <t>To be  measured for each Plan and Reported to TRAI</t>
    </r>
  </si>
  <si>
    <r>
      <rPr>
        <sz val="8"/>
        <rFont val="Cambria"/>
        <family val="1"/>
      </rPr>
      <t>CDMA</t>
    </r>
  </si>
  <si>
    <r>
      <rPr>
        <sz val="8"/>
        <rFont val="Cambria"/>
        <family val="1"/>
      </rPr>
      <t>Plan 1</t>
    </r>
  </si>
  <si>
    <r>
      <rPr>
        <sz val="8"/>
        <rFont val="Cambria"/>
        <family val="1"/>
      </rPr>
      <t>Plans</t>
    </r>
  </si>
  <si>
    <r>
      <rPr>
        <sz val="8"/>
        <rFont val="Cambria"/>
        <family val="1"/>
      </rPr>
      <t>Average  Throughput for Packet data (Kbps)</t>
    </r>
  </si>
  <si>
    <r>
      <rPr>
        <sz val="8"/>
        <rFont val="Cambria"/>
        <family val="1"/>
      </rPr>
      <t>&gt;75%  of the subscribed speed.</t>
    </r>
  </si>
  <si>
    <r>
      <rPr>
        <sz val="8"/>
        <rFont val="Cambria"/>
        <family val="1"/>
      </rPr>
      <t>Latency</t>
    </r>
  </si>
  <si>
    <r>
      <rPr>
        <sz val="8"/>
        <rFont val="Cambria"/>
        <family val="1"/>
      </rPr>
      <t>Data &lt;250</t>
    </r>
  </si>
  <si>
    <r>
      <rPr>
        <sz val="8"/>
        <rFont val="Cambria"/>
        <family val="1"/>
      </rPr>
      <t>PDP Context Activation Success Rate</t>
    </r>
  </si>
  <si>
    <r>
      <rPr>
        <sz val="8"/>
        <rFont val="Trebuchet MS"/>
        <family val="2"/>
      </rPr>
      <t>≥95%</t>
    </r>
  </si>
  <si>
    <r>
      <rPr>
        <sz val="8"/>
        <rFont val="Cambria"/>
        <family val="1"/>
      </rPr>
      <t>Drop rate  :</t>
    </r>
  </si>
  <si>
    <r>
      <rPr>
        <sz val="8"/>
        <rFont val="Trebuchet MS"/>
        <family val="2"/>
      </rPr>
      <t>≤5%</t>
    </r>
  </si>
  <si>
    <r>
      <rPr>
        <sz val="8"/>
        <rFont val="Cambria"/>
        <family val="1"/>
      </rPr>
      <t xml:space="preserve">Within 4 hrs with
</t>
    </r>
    <r>
      <rPr>
        <sz val="8"/>
        <rFont val="Cambria"/>
        <family val="1"/>
      </rPr>
      <t>95%  success rate.</t>
    </r>
  </si>
  <si>
    <r>
      <rPr>
        <sz val="8"/>
        <rFont val="Cambria"/>
        <family val="1"/>
      </rPr>
      <t>Minimum download</t>
    </r>
  </si>
  <si>
    <r>
      <rPr>
        <sz val="8"/>
        <rFont val="Cambria"/>
        <family val="1"/>
      </rPr>
      <t>To be  measured</t>
    </r>
  </si>
  <si>
    <r>
      <rPr>
        <sz val="8"/>
        <rFont val="Cambria"/>
        <family val="1"/>
      </rPr>
      <t>speed (Kbps)</t>
    </r>
  </si>
  <si>
    <r>
      <rPr>
        <sz val="8"/>
        <rFont val="Cambria"/>
        <family val="1"/>
      </rPr>
      <t>90(Postpaid Data</t>
    </r>
  </si>
  <si>
    <r>
      <rPr>
        <sz val="8"/>
        <rFont val="Cambria"/>
        <family val="1"/>
      </rPr>
      <t>90(Prepaid Data</t>
    </r>
  </si>
  <si>
    <r>
      <rPr>
        <sz val="8"/>
        <rFont val="Cambria"/>
        <family val="1"/>
      </rPr>
      <t>1250(Postpaid Data</t>
    </r>
  </si>
  <si>
    <r>
      <rPr>
        <sz val="8"/>
        <rFont val="Cambria"/>
        <family val="1"/>
      </rPr>
      <t>1250(Prepaid Data</t>
    </r>
  </si>
  <si>
    <r>
      <rPr>
        <sz val="8"/>
        <rFont val="Cambria"/>
        <family val="1"/>
      </rPr>
      <t>152(Postpaid Data</t>
    </r>
  </si>
  <si>
    <r>
      <rPr>
        <sz val="8"/>
        <rFont val="Cambria"/>
        <family val="1"/>
      </rPr>
      <t>152(Prepaid Data</t>
    </r>
  </si>
  <si>
    <r>
      <rPr>
        <sz val="8"/>
        <rFont val="Cambria"/>
        <family val="1"/>
      </rPr>
      <t>2893(Postpaid Data</t>
    </r>
  </si>
  <si>
    <r>
      <rPr>
        <sz val="8"/>
        <rFont val="Cambria"/>
        <family val="1"/>
      </rPr>
      <t>2893(Prepaid Data</t>
    </r>
  </si>
  <si>
    <r>
      <rPr>
        <sz val="8"/>
        <rFont val="Cambria"/>
        <family val="1"/>
      </rPr>
      <t>NA</t>
    </r>
  </si>
  <si>
    <r>
      <rPr>
        <sz val="8"/>
        <rFont val="Cambria"/>
        <family val="1"/>
      </rPr>
      <t>78.7(2G Postpaid)</t>
    </r>
  </si>
  <si>
    <r>
      <rPr>
        <sz val="8"/>
        <rFont val="Cambria"/>
        <family val="1"/>
      </rPr>
      <t>78.7(Prepaid 2G</t>
    </r>
  </si>
  <si>
    <r>
      <rPr>
        <sz val="8"/>
        <rFont val="Cambria"/>
        <family val="1"/>
      </rPr>
      <t>839.3(3G Postpaid</t>
    </r>
  </si>
  <si>
    <r>
      <rPr>
        <sz val="8"/>
        <rFont val="Cambria"/>
        <family val="1"/>
      </rPr>
      <t>839.3(3G Prepaid</t>
    </r>
  </si>
  <si>
    <r>
      <rPr>
        <sz val="8"/>
        <rFont val="Cambria"/>
        <family val="1"/>
      </rPr>
      <t>116.9(2G Postpaid</t>
    </r>
  </si>
  <si>
    <r>
      <rPr>
        <sz val="8"/>
        <rFont val="Cambria"/>
        <family val="1"/>
      </rPr>
      <t>116.9(Prepaid 2G</t>
    </r>
  </si>
  <si>
    <r>
      <rPr>
        <sz val="8"/>
        <rFont val="Cambria"/>
        <family val="1"/>
      </rPr>
      <t>1965.2(3G Postpaid</t>
    </r>
  </si>
  <si>
    <r>
      <rPr>
        <sz val="8"/>
        <rFont val="Cambria"/>
        <family val="1"/>
      </rPr>
      <t>1965.2(3G Prepaid</t>
    </r>
  </si>
  <si>
    <r>
      <rPr>
        <sz val="8"/>
        <rFont val="Cambria"/>
        <family val="1"/>
      </rPr>
      <t xml:space="preserve">Within 4 hrs with
</t>
    </r>
    <r>
      <rPr>
        <sz val="8"/>
        <rFont val="Cambria"/>
        <family val="1"/>
      </rPr>
      <t>95%  success</t>
    </r>
  </si>
  <si>
    <r>
      <rPr>
        <sz val="8"/>
        <rFont val="Cambria"/>
        <family val="1"/>
      </rPr>
      <t>2203Kbps</t>
    </r>
  </si>
  <si>
    <r>
      <rPr>
        <sz val="8"/>
        <rFont val="Cambria"/>
        <family val="1"/>
      </rPr>
      <t>3448Kbps</t>
    </r>
  </si>
  <si>
    <r>
      <rPr>
        <sz val="8"/>
        <rFont val="Cambria"/>
        <family val="1"/>
      </rPr>
      <t>Successful data transmission upload</t>
    </r>
  </si>
  <si>
    <r>
      <rPr>
        <sz val="8"/>
        <rFont val="Cambria"/>
        <family val="1"/>
      </rPr>
      <t>18.33kbps</t>
    </r>
  </si>
  <si>
    <r>
      <rPr>
        <sz val="8"/>
        <rFont val="Cambria"/>
        <family val="1"/>
      </rPr>
      <t>109kbps</t>
    </r>
  </si>
  <si>
    <r>
      <rPr>
        <sz val="8"/>
        <rFont val="Cambria"/>
        <family val="1"/>
      </rPr>
      <t>221.6kbps</t>
    </r>
  </si>
  <si>
    <r>
      <rPr>
        <sz val="8"/>
        <rFont val="Cambria"/>
        <family val="1"/>
      </rPr>
      <t>84.66kbps</t>
    </r>
  </si>
  <si>
    <r>
      <rPr>
        <sz val="8"/>
        <rFont val="Cambria"/>
        <family val="1"/>
      </rPr>
      <t>736.66kbps</t>
    </r>
  </si>
  <si>
    <r>
      <rPr>
        <sz val="8"/>
        <rFont val="Cambria"/>
        <family val="1"/>
      </rPr>
      <t>1540.00kbps</t>
    </r>
  </si>
  <si>
    <r>
      <rPr>
        <sz val="8"/>
        <rFont val="Cambria"/>
        <family val="1"/>
      </rPr>
      <t>87.66ms</t>
    </r>
  </si>
  <si>
    <r>
      <rPr>
        <sz val="8"/>
        <rFont val="Cambria"/>
        <family val="1"/>
      </rPr>
      <t>Successful data transmission download</t>
    </r>
  </si>
  <si>
    <r>
      <rPr>
        <sz val="8"/>
        <rFont val="Cambria"/>
        <family val="1"/>
      </rPr>
      <t>1165(3G Postpaid</t>
    </r>
  </si>
  <si>
    <r>
      <rPr>
        <sz val="8"/>
        <rFont val="Cambria"/>
        <family val="1"/>
      </rPr>
      <t>1314(3G Postpaid</t>
    </r>
  </si>
  <si>
    <r>
      <rPr>
        <sz val="8"/>
        <rFont val="Cambria"/>
        <family val="1"/>
      </rPr>
      <t>1351(3G Postpaid</t>
    </r>
  </si>
  <si>
    <r>
      <rPr>
        <sz val="8"/>
        <rFont val="Cambria"/>
        <family val="1"/>
      </rPr>
      <t>1482(3G Postpaid</t>
    </r>
  </si>
  <si>
    <r>
      <rPr>
        <sz val="8"/>
        <rFont val="Cambria"/>
        <family val="1"/>
      </rPr>
      <t>1652(3G Postpaid</t>
    </r>
  </si>
  <si>
    <r>
      <rPr>
        <sz val="8"/>
        <rFont val="Cambria"/>
        <family val="1"/>
      </rPr>
      <t>1172(3G Prepaid</t>
    </r>
  </si>
  <si>
    <r>
      <rPr>
        <sz val="8"/>
        <rFont val="Cambria"/>
        <family val="1"/>
      </rPr>
      <t>1268(3G Prepaid</t>
    </r>
  </si>
  <si>
    <r>
      <rPr>
        <sz val="8"/>
        <rFont val="Cambria"/>
        <family val="1"/>
      </rPr>
      <t>1255(3G Prepaid</t>
    </r>
  </si>
  <si>
    <r>
      <rPr>
        <sz val="8"/>
        <rFont val="Cambria"/>
        <family val="1"/>
      </rPr>
      <t>2574(3G Prepaid</t>
    </r>
  </si>
  <si>
    <r>
      <rPr>
        <sz val="8"/>
        <rFont val="Cambria"/>
        <family val="1"/>
      </rPr>
      <t>2852(3G Prepaid</t>
    </r>
  </si>
  <si>
    <r>
      <rPr>
        <sz val="8"/>
        <rFont val="Cambria"/>
        <family val="1"/>
      </rPr>
      <t>3248(3G Prepaid</t>
    </r>
  </si>
  <si>
    <r>
      <rPr>
        <sz val="8"/>
        <rFont val="Cambria"/>
        <family val="1"/>
      </rPr>
      <t>3764(3G Prepaid</t>
    </r>
  </si>
  <si>
    <r>
      <rPr>
        <sz val="8"/>
        <rFont val="Cambria"/>
        <family val="1"/>
      </rPr>
      <t>3849(3G Prepaid</t>
    </r>
  </si>
  <si>
    <r>
      <rPr>
        <sz val="8"/>
        <rFont val="Cambria"/>
        <family val="1"/>
      </rPr>
      <t>2512(3G Postpaid</t>
    </r>
  </si>
  <si>
    <r>
      <rPr>
        <sz val="8"/>
        <rFont val="Cambria"/>
        <family val="1"/>
      </rPr>
      <t>2881(3G Postpaid</t>
    </r>
  </si>
  <si>
    <r>
      <rPr>
        <sz val="8"/>
        <rFont val="Cambria"/>
        <family val="1"/>
      </rPr>
      <t>3245(3G Postpaid</t>
    </r>
  </si>
  <si>
    <r>
      <rPr>
        <sz val="8"/>
        <rFont val="Cambria"/>
        <family val="1"/>
      </rPr>
      <t>3467(3G Postpaid</t>
    </r>
  </si>
  <si>
    <r>
      <rPr>
        <sz val="8"/>
        <rFont val="Cambria"/>
        <family val="1"/>
      </rPr>
      <t>3842(3G Postpaid</t>
    </r>
  </si>
  <si>
    <r>
      <rPr>
        <sz val="8"/>
        <rFont val="Cambria"/>
        <family val="1"/>
      </rPr>
      <t>3666(3G Prepaid</t>
    </r>
  </si>
  <si>
    <r>
      <rPr>
        <sz val="8"/>
        <rFont val="Cambria"/>
        <family val="1"/>
      </rPr>
      <t>2276(3G Prepaid</t>
    </r>
  </si>
  <si>
    <r>
      <rPr>
        <sz val="8"/>
        <rFont val="Cambria"/>
        <family val="1"/>
      </rPr>
      <t>4564(3G Prepaid</t>
    </r>
  </si>
  <si>
    <r>
      <rPr>
        <sz val="8"/>
        <rFont val="Cambria"/>
        <family val="1"/>
      </rPr>
      <t>3845(3G Prepaid</t>
    </r>
  </si>
  <si>
    <r>
      <rPr>
        <sz val="8"/>
        <rFont val="Cambria"/>
        <family val="1"/>
      </rPr>
      <t>3502(3G Prepaid</t>
    </r>
  </si>
  <si>
    <r>
      <rPr>
        <sz val="8"/>
        <rFont val="Cambria"/>
        <family val="1"/>
      </rPr>
      <t>3454(3G Prepaid</t>
    </r>
  </si>
  <si>
    <r>
      <rPr>
        <sz val="8"/>
        <rFont val="Cambria"/>
        <family val="1"/>
      </rPr>
      <t>4378(3G Prepaid</t>
    </r>
  </si>
  <si>
    <r>
      <rPr>
        <sz val="8"/>
        <rFont val="Cambria"/>
        <family val="1"/>
      </rPr>
      <t>4328(3G Prepaid</t>
    </r>
  </si>
  <si>
    <r>
      <rPr>
        <sz val="8"/>
        <rFont val="Cambria"/>
        <family val="1"/>
      </rPr>
      <t>Plan 2</t>
    </r>
  </si>
  <si>
    <r>
      <rPr>
        <sz val="8"/>
        <rFont val="Cambria"/>
        <family val="1"/>
      </rPr>
      <t>43.40(Postpaid Data</t>
    </r>
  </si>
  <si>
    <r>
      <rPr>
        <sz val="8"/>
        <rFont val="Cambria"/>
        <family val="1"/>
      </rPr>
      <t>43.40(Prepaid Data</t>
    </r>
  </si>
  <si>
    <r>
      <rPr>
        <sz val="8"/>
        <rFont val="Cambria"/>
        <family val="1"/>
      </rPr>
      <t>1831.09(Postpaid</t>
    </r>
  </si>
  <si>
    <r>
      <rPr>
        <sz val="8"/>
        <rFont val="Cambria"/>
        <family val="1"/>
      </rPr>
      <t>1831.09(Prepaid</t>
    </r>
  </si>
  <si>
    <r>
      <rPr>
        <sz val="8"/>
        <rFont val="Cambria"/>
        <family val="1"/>
      </rPr>
      <t>80.43(Postpaid Data</t>
    </r>
  </si>
  <si>
    <r>
      <rPr>
        <sz val="8"/>
        <rFont val="Cambria"/>
        <family val="1"/>
      </rPr>
      <t>80.43(Prepaid Data</t>
    </r>
  </si>
  <si>
    <r>
      <rPr>
        <sz val="8"/>
        <rFont val="Cambria"/>
        <family val="1"/>
      </rPr>
      <t>2832.11(Postpaid</t>
    </r>
  </si>
  <si>
    <r>
      <rPr>
        <sz val="8"/>
        <rFont val="Cambria"/>
        <family val="1"/>
      </rPr>
      <t>28.32.11(Postpaid</t>
    </r>
  </si>
  <si>
    <r>
      <rPr>
        <sz val="8"/>
        <rFont val="Cambria"/>
        <family val="1"/>
      </rPr>
      <t>2832.11(Prepaid</t>
    </r>
  </si>
  <si>
    <r>
      <rPr>
        <sz val="8"/>
        <rFont val="Cambria"/>
        <family val="1"/>
      </rPr>
      <t>115(Postpaid Data</t>
    </r>
  </si>
  <si>
    <r>
      <rPr>
        <sz val="8"/>
        <rFont val="Cambria"/>
        <family val="1"/>
      </rPr>
      <t>115(Prepaid Combo</t>
    </r>
  </si>
  <si>
    <r>
      <rPr>
        <sz val="8"/>
        <rFont val="Cambria"/>
        <family val="1"/>
      </rPr>
      <t>115(Prepaid Data</t>
    </r>
  </si>
  <si>
    <r>
      <rPr>
        <sz val="8"/>
        <rFont val="Cambria"/>
        <family val="1"/>
      </rPr>
      <t>1812(Postpaid Data</t>
    </r>
  </si>
  <si>
    <r>
      <rPr>
        <sz val="8"/>
        <rFont val="Cambria"/>
        <family val="1"/>
      </rPr>
      <t>1812(Prepaid Combo</t>
    </r>
  </si>
  <si>
    <r>
      <rPr>
        <sz val="8"/>
        <rFont val="Cambria"/>
        <family val="1"/>
      </rPr>
      <t>1812(Prepaid Data</t>
    </r>
  </si>
  <si>
    <r>
      <rPr>
        <sz val="8"/>
        <rFont val="Cambria"/>
        <family val="1"/>
      </rPr>
      <t>211(Postpaid Data</t>
    </r>
  </si>
  <si>
    <r>
      <rPr>
        <sz val="8"/>
        <rFont val="Cambria"/>
        <family val="1"/>
      </rPr>
      <t>211(Prepaid Combo</t>
    </r>
  </si>
  <si>
    <r>
      <rPr>
        <sz val="8"/>
        <rFont val="Cambria"/>
        <family val="1"/>
      </rPr>
      <t>211(Prepaid Data</t>
    </r>
  </si>
  <si>
    <r>
      <rPr>
        <sz val="8"/>
        <rFont val="Cambria"/>
        <family val="1"/>
      </rPr>
      <t>8333(Postpaid Data</t>
    </r>
  </si>
  <si>
    <r>
      <rPr>
        <sz val="8"/>
        <rFont val="Cambria"/>
        <family val="1"/>
      </rPr>
      <t>8333(Prepaid Combo</t>
    </r>
  </si>
  <si>
    <r>
      <rPr>
        <sz val="8"/>
        <rFont val="Cambria"/>
        <family val="1"/>
      </rPr>
      <t>8333(Prepaid Data</t>
    </r>
  </si>
  <si>
    <r>
      <rPr>
        <sz val="8"/>
        <rFont val="Cambria"/>
        <family val="1"/>
      </rPr>
      <t>&gt;75%  of the subscribed</t>
    </r>
  </si>
  <si>
    <t>State/Circle</t>
  </si>
  <si>
    <t>Andhra Pradesh</t>
  </si>
  <si>
    <t>Assam</t>
  </si>
  <si>
    <t>Bihar and Jharkhand</t>
  </si>
  <si>
    <t>Chennai</t>
  </si>
  <si>
    <t>Delhi</t>
  </si>
  <si>
    <t>Gujrat</t>
  </si>
  <si>
    <t>Himachal Pradesh</t>
  </si>
  <si>
    <t>Haryana</t>
  </si>
  <si>
    <t>Jammu and Kashmir</t>
  </si>
  <si>
    <t>Kolkata</t>
  </si>
  <si>
    <t>kerala</t>
  </si>
  <si>
    <t>Karnataka</t>
  </si>
  <si>
    <t>Maharashtara</t>
  </si>
  <si>
    <t>Madhya Pradesh</t>
  </si>
  <si>
    <t>Mumbai</t>
  </si>
  <si>
    <t>North East</t>
  </si>
  <si>
    <t>Plan 1</t>
  </si>
  <si>
    <t>Orissa</t>
  </si>
  <si>
    <t>Punjab</t>
  </si>
  <si>
    <t xml:space="preserve">6
</t>
  </si>
  <si>
    <t>Rajasthan</t>
  </si>
  <si>
    <t>Tamilnadu</t>
  </si>
  <si>
    <t>Utar Pradesh (East)</t>
  </si>
  <si>
    <t>Utar Pradesh (West)</t>
  </si>
  <si>
    <t>West Bengal</t>
  </si>
  <si>
    <t>Average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</si>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</sst>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Times New Roman"/>
      <charset val="204"/>
    </font>
    <font>
      <b/>
      <sz val="8"/>
      <name val="Cambria"/>
      <family val="1"/>
    </font>
    <font>
      <sz val="8"/>
      <color rgb="FF000000"/>
      <name val="Cambria"/>
      <family val="2"/>
    </font>
    <font>
      <sz val="8"/>
      <name val="Cambria"/>
      <family val="1"/>
    </font>
    <font>
      <sz val="8"/>
      <name val="Trebuchet MS"/>
      <family val="2"/>
    </font>
    <font>
      <b/>
      <sz val="8"/>
      <color rgb="FF000000"/>
      <name val="Cambria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1EEDA"/>
      </patternFill>
    </fill>
    <fill>
      <patternFill patternType="solid">
        <fgColor rgb="FFCCFFCC"/>
      </patternFill>
    </fill>
    <fill>
      <patternFill patternType="solid">
        <fgColor rgb="FFCCFFFF"/>
      </patternFill>
    </fill>
    <fill>
      <patternFill patternType="solid">
        <fgColor rgb="FFFFC000"/>
      </patternFill>
    </fill>
    <fill>
      <patternFill patternType="solid">
        <fgColor rgb="FFFFE699"/>
      </patternFill>
    </fill>
    <fill>
      <patternFill patternType="solid">
        <fgColor rgb="FFA6A6A6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9">
    <xf numFmtId="0" fontId="0" fillId="0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 indent="3"/>
    </xf>
    <xf numFmtId="0" fontId="1" fillId="4" borderId="1" xfId="0" applyFont="1" applyFill="1" applyBorder="1" applyAlignment="1">
      <alignment horizontal="right" vertical="top" wrapText="1"/>
    </xf>
    <xf numFmtId="0" fontId="1" fillId="5" borderId="1" xfId="0" applyFont="1" applyFill="1" applyBorder="1" applyAlignment="1">
      <alignment horizontal="left" vertical="top" wrapText="1" indent="2"/>
    </xf>
    <xf numFmtId="0" fontId="1" fillId="6" borderId="1" xfId="0" applyFont="1" applyFill="1" applyBorder="1" applyAlignment="1">
      <alignment horizontal="right" vertical="top" wrapText="1"/>
    </xf>
    <xf numFmtId="0" fontId="1" fillId="7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2" fontId="2" fillId="3" borderId="1" xfId="0" applyNumberFormat="1" applyFont="1" applyFill="1" applyBorder="1" applyAlignment="1">
      <alignment horizontal="right" vertical="top" shrinkToFit="1"/>
    </xf>
    <xf numFmtId="0" fontId="0" fillId="4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2" fontId="2" fillId="6" borderId="1" xfId="0" applyNumberFormat="1" applyFont="1" applyFill="1" applyBorder="1" applyAlignment="1">
      <alignment horizontal="right" vertical="top" shrinkToFit="1"/>
    </xf>
    <xf numFmtId="2" fontId="2" fillId="7" borderId="1" xfId="0" applyNumberFormat="1" applyFont="1" applyFill="1" applyBorder="1" applyAlignment="1">
      <alignment horizontal="right" vertical="top" shrinkToFit="1"/>
    </xf>
    <xf numFmtId="0" fontId="0" fillId="3" borderId="1" xfId="0" applyFill="1" applyBorder="1" applyAlignment="1">
      <alignment horizontal="left" wrapText="1"/>
    </xf>
    <xf numFmtId="2" fontId="2" fillId="4" borderId="1" xfId="0" applyNumberFormat="1" applyFont="1" applyFill="1" applyBorder="1" applyAlignment="1">
      <alignment horizontal="right" vertical="top" shrinkToFit="1"/>
    </xf>
    <xf numFmtId="0" fontId="0" fillId="6" borderId="1" xfId="0" applyFill="1" applyBorder="1" applyAlignment="1">
      <alignment horizontal="left" wrapText="1"/>
    </xf>
    <xf numFmtId="0" fontId="0" fillId="7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right" vertical="top" wrapText="1"/>
    </xf>
    <xf numFmtId="0" fontId="0" fillId="0" borderId="1" xfId="0" applyFill="1" applyBorder="1" applyAlignment="1">
      <alignment horizontal="left" wrapText="1"/>
    </xf>
    <xf numFmtId="2" fontId="2" fillId="5" borderId="1" xfId="0" applyNumberFormat="1" applyFont="1" applyFill="1" applyBorder="1" applyAlignment="1">
      <alignment horizontal="right" vertical="top" shrinkToFit="1"/>
    </xf>
    <xf numFmtId="0" fontId="3" fillId="7" borderId="1" xfId="0" applyFont="1" applyFill="1" applyBorder="1" applyAlignment="1">
      <alignment horizontal="right" vertical="top" wrapText="1"/>
    </xf>
    <xf numFmtId="0" fontId="0" fillId="4" borderId="4" xfId="0" applyFill="1" applyBorder="1" applyAlignment="1">
      <alignment horizontal="left" wrapText="1"/>
    </xf>
    <xf numFmtId="0" fontId="7" fillId="0" borderId="0" xfId="0" applyFont="1" applyFill="1" applyBorder="1" applyAlignment="1">
      <alignment horizontal="left" vertical="top"/>
    </xf>
    <xf numFmtId="0" fontId="7" fillId="0" borderId="11" xfId="0" applyFont="1" applyFill="1" applyBorder="1" applyAlignment="1">
      <alignment horizontal="left" vertical="top"/>
    </xf>
    <xf numFmtId="0" fontId="0" fillId="2" borderId="11" xfId="0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top" wrapText="1"/>
    </xf>
    <xf numFmtId="0" fontId="1" fillId="3" borderId="11" xfId="0" applyFont="1" applyFill="1" applyBorder="1" applyAlignment="1">
      <alignment horizontal="left" vertical="top" wrapText="1" indent="3"/>
    </xf>
    <xf numFmtId="0" fontId="1" fillId="4" borderId="11" xfId="0" applyFont="1" applyFill="1" applyBorder="1" applyAlignment="1">
      <alignment horizontal="right" vertical="top" wrapText="1"/>
    </xf>
    <xf numFmtId="0" fontId="1" fillId="5" borderId="11" xfId="0" applyFont="1" applyFill="1" applyBorder="1" applyAlignment="1">
      <alignment horizontal="left" vertical="top" wrapText="1" indent="2"/>
    </xf>
    <xf numFmtId="0" fontId="1" fillId="6" borderId="11" xfId="0" applyFont="1" applyFill="1" applyBorder="1" applyAlignment="1">
      <alignment horizontal="right" vertical="top" wrapText="1"/>
    </xf>
    <xf numFmtId="0" fontId="1" fillId="7" borderId="11" xfId="0" applyFont="1" applyFill="1" applyBorder="1" applyAlignment="1">
      <alignment horizontal="center" vertical="top" wrapText="1"/>
    </xf>
    <xf numFmtId="2" fontId="2" fillId="3" borderId="11" xfId="0" applyNumberFormat="1" applyFont="1" applyFill="1" applyBorder="1" applyAlignment="1">
      <alignment horizontal="right" vertical="top" shrinkToFit="1"/>
    </xf>
    <xf numFmtId="0" fontId="0" fillId="4" borderId="11" xfId="0" applyFill="1" applyBorder="1" applyAlignment="1">
      <alignment horizontal="left" wrapText="1"/>
    </xf>
    <xf numFmtId="0" fontId="0" fillId="5" borderId="11" xfId="0" applyFill="1" applyBorder="1" applyAlignment="1">
      <alignment horizontal="left" wrapText="1"/>
    </xf>
    <xf numFmtId="2" fontId="2" fillId="6" borderId="11" xfId="0" applyNumberFormat="1" applyFont="1" applyFill="1" applyBorder="1" applyAlignment="1">
      <alignment horizontal="right" vertical="top" shrinkToFit="1"/>
    </xf>
    <xf numFmtId="2" fontId="2" fillId="7" borderId="11" xfId="0" applyNumberFormat="1" applyFont="1" applyFill="1" applyBorder="1" applyAlignment="1">
      <alignment horizontal="right" vertical="top" shrinkToFit="1"/>
    </xf>
    <xf numFmtId="0" fontId="0" fillId="3" borderId="11" xfId="0" applyFill="1" applyBorder="1" applyAlignment="1">
      <alignment horizontal="left" wrapText="1"/>
    </xf>
    <xf numFmtId="2" fontId="2" fillId="4" borderId="11" xfId="0" applyNumberFormat="1" applyFont="1" applyFill="1" applyBorder="1" applyAlignment="1">
      <alignment horizontal="right" vertical="top" shrinkToFit="1"/>
    </xf>
    <xf numFmtId="0" fontId="0" fillId="6" borderId="11" xfId="0" applyFill="1" applyBorder="1" applyAlignment="1">
      <alignment horizontal="left" wrapText="1"/>
    </xf>
    <xf numFmtId="0" fontId="0" fillId="7" borderId="11" xfId="0" applyFill="1" applyBorder="1" applyAlignment="1">
      <alignment horizontal="left" wrapText="1"/>
    </xf>
    <xf numFmtId="1" fontId="2" fillId="0" borderId="11" xfId="0" applyNumberFormat="1" applyFont="1" applyFill="1" applyBorder="1" applyAlignment="1">
      <alignment horizontal="center" vertical="top" shrinkToFit="1"/>
    </xf>
    <xf numFmtId="0" fontId="3" fillId="0" borderId="11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left" vertical="top" wrapText="1"/>
    </xf>
    <xf numFmtId="0" fontId="3" fillId="4" borderId="11" xfId="0" applyFont="1" applyFill="1" applyBorder="1" applyAlignment="1">
      <alignment horizontal="right" vertical="top" wrapText="1"/>
    </xf>
    <xf numFmtId="2" fontId="5" fillId="8" borderId="11" xfId="0" applyNumberFormat="1" applyFont="1" applyFill="1" applyBorder="1" applyAlignment="1">
      <alignment horizontal="right" vertical="top" shrinkToFit="1"/>
    </xf>
    <xf numFmtId="0" fontId="3" fillId="3" borderId="11" xfId="0" applyFont="1" applyFill="1" applyBorder="1" applyAlignment="1">
      <alignment horizontal="right" vertical="top" wrapText="1"/>
    </xf>
    <xf numFmtId="0" fontId="0" fillId="0" borderId="11" xfId="0" applyFill="1" applyBorder="1" applyAlignment="1">
      <alignment horizontal="left" wrapText="1"/>
    </xf>
    <xf numFmtId="0" fontId="7" fillId="0" borderId="13" xfId="0" applyFont="1" applyFill="1" applyBorder="1" applyAlignment="1">
      <alignment horizontal="left" vertical="top"/>
    </xf>
    <xf numFmtId="0" fontId="0" fillId="2" borderId="4" xfId="0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 indent="4"/>
    </xf>
    <xf numFmtId="0" fontId="1" fillId="2" borderId="4" xfId="0" applyFont="1" applyFill="1" applyBorder="1" applyAlignment="1">
      <alignment horizontal="left" vertical="top" wrapText="1" indent="1"/>
    </xf>
    <xf numFmtId="0" fontId="1" fillId="3" borderId="4" xfId="0" applyFont="1" applyFill="1" applyBorder="1" applyAlignment="1">
      <alignment horizontal="left" vertical="top" wrapText="1" indent="3"/>
    </xf>
    <xf numFmtId="0" fontId="1" fillId="4" borderId="4" xfId="0" applyFont="1" applyFill="1" applyBorder="1" applyAlignment="1">
      <alignment horizontal="right" vertical="top" wrapText="1"/>
    </xf>
    <xf numFmtId="0" fontId="1" fillId="5" borderId="4" xfId="0" applyFont="1" applyFill="1" applyBorder="1" applyAlignment="1">
      <alignment horizontal="left" vertical="top" wrapText="1" indent="2"/>
    </xf>
    <xf numFmtId="0" fontId="1" fillId="6" borderId="4" xfId="0" applyFont="1" applyFill="1" applyBorder="1" applyAlignment="1">
      <alignment horizontal="right" vertical="top" wrapText="1"/>
    </xf>
    <xf numFmtId="0" fontId="1" fillId="7" borderId="4" xfId="0" applyFont="1" applyFill="1" applyBorder="1" applyAlignment="1">
      <alignment horizontal="center" vertical="top" wrapText="1"/>
    </xf>
    <xf numFmtId="0" fontId="0" fillId="2" borderId="9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wrapText="1"/>
    </xf>
    <xf numFmtId="0" fontId="1" fillId="2" borderId="11" xfId="0" applyFont="1" applyFill="1" applyBorder="1" applyAlignment="1">
      <alignment horizontal="left" vertical="top" wrapText="1" indent="4"/>
    </xf>
    <xf numFmtId="0" fontId="1" fillId="2" borderId="11" xfId="0" applyFont="1" applyFill="1" applyBorder="1" applyAlignment="1">
      <alignment horizontal="left" vertical="top" wrapText="1" indent="1"/>
    </xf>
    <xf numFmtId="2" fontId="2" fillId="4" borderId="11" xfId="0" applyNumberFormat="1" applyFont="1" applyFill="1" applyBorder="1" applyAlignment="1">
      <alignment horizontal="right" vertical="top" shrinkToFit="1"/>
    </xf>
    <xf numFmtId="0" fontId="3" fillId="0" borderId="11" xfId="0" applyFont="1" applyFill="1" applyBorder="1" applyAlignment="1">
      <alignment horizontal="left" vertical="top" wrapText="1" indent="1"/>
    </xf>
    <xf numFmtId="2" fontId="2" fillId="3" borderId="11" xfId="0" applyNumberFormat="1" applyFont="1" applyFill="1" applyBorder="1" applyAlignment="1">
      <alignment horizontal="left" vertical="top" indent="5" shrinkToFit="1"/>
    </xf>
    <xf numFmtId="2" fontId="2" fillId="7" borderId="11" xfId="0" applyNumberFormat="1" applyFont="1" applyFill="1" applyBorder="1" applyAlignment="1">
      <alignment horizontal="left" vertical="top" indent="6" shrinkToFit="1"/>
    </xf>
    <xf numFmtId="0" fontId="0" fillId="2" borderId="19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center" vertical="top"/>
    </xf>
    <xf numFmtId="0" fontId="6" fillId="0" borderId="7" xfId="0" applyFont="1" applyFill="1" applyBorder="1" applyAlignment="1">
      <alignment horizontal="center" vertical="top"/>
    </xf>
    <xf numFmtId="1" fontId="2" fillId="0" borderId="4" xfId="0" applyNumberFormat="1" applyFont="1" applyFill="1" applyBorder="1" applyAlignment="1">
      <alignment horizontal="center" vertical="top" shrinkToFit="1"/>
    </xf>
    <xf numFmtId="1" fontId="2" fillId="0" borderId="5" xfId="0" applyNumberFormat="1" applyFont="1" applyFill="1" applyBorder="1" applyAlignment="1">
      <alignment horizontal="center" vertical="top" shrinkToFit="1"/>
    </xf>
    <xf numFmtId="1" fontId="2" fillId="0" borderId="6" xfId="0" applyNumberFormat="1" applyFont="1" applyFill="1" applyBorder="1" applyAlignment="1">
      <alignment horizontal="center" vertical="top" shrinkToFit="1"/>
    </xf>
    <xf numFmtId="0" fontId="3" fillId="0" borderId="4" xfId="0" applyFont="1" applyFill="1" applyBorder="1" applyAlignment="1">
      <alignment horizontal="left" vertical="top" wrapText="1" indent="4"/>
    </xf>
    <xf numFmtId="0" fontId="3" fillId="0" borderId="5" xfId="0" applyFont="1" applyFill="1" applyBorder="1" applyAlignment="1">
      <alignment horizontal="left" vertical="top" wrapText="1" indent="4"/>
    </xf>
    <xf numFmtId="0" fontId="3" fillId="0" borderId="6" xfId="0" applyFont="1" applyFill="1" applyBorder="1" applyAlignment="1">
      <alignment horizontal="left" vertical="top" wrapText="1" indent="4"/>
    </xf>
    <xf numFmtId="0" fontId="4" fillId="0" borderId="4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2"/>
    </xf>
    <xf numFmtId="0" fontId="3" fillId="0" borderId="3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top" wrapText="1" indent="4"/>
    </xf>
    <xf numFmtId="0" fontId="3" fillId="0" borderId="3" xfId="0" applyFont="1" applyFill="1" applyBorder="1" applyAlignment="1">
      <alignment horizontal="left" vertical="top" wrapText="1" indent="4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left" vertical="top" wrapText="1" indent="1"/>
    </xf>
    <xf numFmtId="0" fontId="3" fillId="0" borderId="5" xfId="0" applyFont="1" applyFill="1" applyBorder="1" applyAlignment="1">
      <alignment horizontal="left" vertical="top" wrapText="1" indent="1"/>
    </xf>
    <xf numFmtId="0" fontId="3" fillId="0" borderId="6" xfId="0" applyFont="1" applyFill="1" applyBorder="1" applyAlignment="1">
      <alignment horizontal="left" vertical="top" wrapText="1" indent="1"/>
    </xf>
    <xf numFmtId="0" fontId="3" fillId="0" borderId="4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left" vertical="top" wrapText="1" indent="2"/>
    </xf>
    <xf numFmtId="0" fontId="3" fillId="0" borderId="5" xfId="0" applyFont="1" applyFill="1" applyBorder="1" applyAlignment="1">
      <alignment horizontal="left" vertical="top" wrapText="1" indent="2"/>
    </xf>
    <xf numFmtId="0" fontId="3" fillId="0" borderId="6" xfId="0" applyFont="1" applyFill="1" applyBorder="1" applyAlignment="1">
      <alignment horizontal="left" vertical="top" wrapText="1" indent="2"/>
    </xf>
    <xf numFmtId="0" fontId="3" fillId="0" borderId="4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 indent="3"/>
    </xf>
    <xf numFmtId="0" fontId="0" fillId="0" borderId="4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6" fillId="0" borderId="11" xfId="0" applyFont="1" applyFill="1" applyBorder="1" applyAlignment="1">
      <alignment horizontal="center" vertical="top"/>
    </xf>
    <xf numFmtId="0" fontId="0" fillId="0" borderId="11" xfId="0" applyFill="1" applyBorder="1" applyAlignment="1">
      <alignment horizontal="center" vertical="top"/>
    </xf>
    <xf numFmtId="0" fontId="1" fillId="2" borderId="11" xfId="0" applyFont="1" applyFill="1" applyBorder="1" applyAlignment="1">
      <alignment horizontal="left" vertical="top" wrapText="1" indent="3"/>
    </xf>
    <xf numFmtId="1" fontId="2" fillId="0" borderId="11" xfId="0" applyNumberFormat="1" applyFont="1" applyFill="1" applyBorder="1" applyAlignment="1">
      <alignment horizontal="center" vertical="top" shrinkToFit="1"/>
    </xf>
    <xf numFmtId="0" fontId="3" fillId="0" borderId="11" xfId="0" applyFont="1" applyFill="1" applyBorder="1" applyAlignment="1">
      <alignment horizontal="left" vertical="top" wrapText="1" indent="4"/>
    </xf>
    <xf numFmtId="0" fontId="4" fillId="0" borderId="11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left" vertical="top" wrapText="1" indent="2"/>
    </xf>
    <xf numFmtId="0" fontId="3" fillId="0" borderId="11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left" vertical="top" wrapText="1" indent="1"/>
    </xf>
    <xf numFmtId="0" fontId="0" fillId="0" borderId="11" xfId="0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/>
    </xf>
    <xf numFmtId="0" fontId="0" fillId="0" borderId="11" xfId="0" applyFill="1" applyBorder="1" applyAlignment="1">
      <alignment horizontal="center" vertical="top" wrapText="1"/>
    </xf>
    <xf numFmtId="0" fontId="6" fillId="0" borderId="12" xfId="0" applyFont="1" applyFill="1" applyBorder="1" applyAlignment="1">
      <alignment horizontal="center" vertical="top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 indent="3"/>
    </xf>
    <xf numFmtId="0" fontId="1" fillId="2" borderId="9" xfId="0" applyFont="1" applyFill="1" applyBorder="1" applyAlignment="1">
      <alignment horizontal="left" vertical="top" wrapText="1" indent="3"/>
    </xf>
    <xf numFmtId="1" fontId="2" fillId="0" borderId="9" xfId="0" applyNumberFormat="1" applyFont="1" applyFill="1" applyBorder="1" applyAlignment="1">
      <alignment horizontal="center" vertical="top" shrinkToFit="1"/>
    </xf>
    <xf numFmtId="1" fontId="2" fillId="0" borderId="7" xfId="0" applyNumberFormat="1" applyFont="1" applyFill="1" applyBorder="1" applyAlignment="1">
      <alignment horizontal="center" vertical="top" shrinkToFit="1"/>
    </xf>
    <xf numFmtId="1" fontId="2" fillId="0" borderId="10" xfId="0" applyNumberFormat="1" applyFont="1" applyFill="1" applyBorder="1" applyAlignment="1">
      <alignment horizontal="center" vertical="top" shrinkToFit="1"/>
    </xf>
    <xf numFmtId="0" fontId="0" fillId="0" borderId="4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center" vertical="top"/>
    </xf>
    <xf numFmtId="0" fontId="0" fillId="0" borderId="15" xfId="0" applyFill="1" applyBorder="1" applyAlignment="1">
      <alignment horizontal="center" vertical="top"/>
    </xf>
    <xf numFmtId="0" fontId="0" fillId="0" borderId="14" xfId="0" applyFill="1" applyBorder="1" applyAlignment="1">
      <alignment horizontal="center" vertical="top"/>
    </xf>
    <xf numFmtId="0" fontId="6" fillId="0" borderId="13" xfId="0" applyFont="1" applyFill="1" applyBorder="1" applyAlignment="1">
      <alignment horizontal="center" vertical="top"/>
    </xf>
    <xf numFmtId="1" fontId="2" fillId="0" borderId="17" xfId="0" applyNumberFormat="1" applyFont="1" applyFill="1" applyBorder="1" applyAlignment="1">
      <alignment horizontal="center" vertical="top" shrinkToFit="1"/>
    </xf>
    <xf numFmtId="1" fontId="2" fillId="0" borderId="16" xfId="0" applyNumberFormat="1" applyFont="1" applyFill="1" applyBorder="1" applyAlignment="1">
      <alignment horizontal="center" vertical="top" shrinkToFit="1"/>
    </xf>
    <xf numFmtId="1" fontId="2" fillId="0" borderId="18" xfId="0" applyNumberFormat="1" applyFont="1" applyFill="1" applyBorder="1" applyAlignment="1">
      <alignment horizontal="center" vertical="top" shrinkToFi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horizontal="center" vertical="top" wrapText="1"/>
    </xf>
    <xf numFmtId="0" fontId="3" fillId="0" borderId="14" xfId="0" applyFont="1" applyFill="1" applyBorder="1" applyAlignment="1">
      <alignment horizontal="center" vertical="top" wrapText="1"/>
    </xf>
    <xf numFmtId="1" fontId="2" fillId="0" borderId="13" xfId="0" applyNumberFormat="1" applyFont="1" applyFill="1" applyBorder="1" applyAlignment="1">
      <alignment horizontal="center" vertical="top" shrinkToFit="1"/>
    </xf>
    <xf numFmtId="1" fontId="2" fillId="0" borderId="15" xfId="0" applyNumberFormat="1" applyFont="1" applyFill="1" applyBorder="1" applyAlignment="1">
      <alignment horizontal="center" vertical="top" shrinkToFit="1"/>
    </xf>
    <xf numFmtId="1" fontId="2" fillId="0" borderId="14" xfId="0" applyNumberFormat="1" applyFont="1" applyFill="1" applyBorder="1" applyAlignment="1">
      <alignment horizontal="center" vertical="top" shrinkToFit="1"/>
    </xf>
    <xf numFmtId="2" fontId="2" fillId="4" borderId="11" xfId="0" applyNumberFormat="1" applyFont="1" applyFill="1" applyBorder="1" applyAlignment="1">
      <alignment horizontal="right" vertical="top" shrinkToFit="1"/>
    </xf>
    <xf numFmtId="0" fontId="6" fillId="0" borderId="15" xfId="0" applyFont="1" applyFill="1" applyBorder="1" applyAlignment="1">
      <alignment horizontal="center" vertical="top"/>
    </xf>
    <xf numFmtId="0" fontId="6" fillId="0" borderId="14" xfId="0" applyFont="1" applyFill="1" applyBorder="1" applyAlignment="1">
      <alignment horizontal="center" vertical="top"/>
    </xf>
    <xf numFmtId="2" fontId="2" fillId="4" borderId="4" xfId="0" applyNumberFormat="1" applyFont="1" applyFill="1" applyBorder="1" applyAlignment="1">
      <alignment horizontal="left" vertical="top" indent="7" shrinkToFit="1"/>
    </xf>
    <xf numFmtId="2" fontId="2" fillId="4" borderId="6" xfId="0" applyNumberFormat="1" applyFont="1" applyFill="1" applyBorder="1" applyAlignment="1">
      <alignment horizontal="left" vertical="top" indent="7" shrinkToFit="1"/>
    </xf>
    <xf numFmtId="2" fontId="2" fillId="4" borderId="4" xfId="0" applyNumberFormat="1" applyFont="1" applyFill="1" applyBorder="1" applyAlignment="1">
      <alignment horizontal="center" vertical="center" shrinkToFit="1"/>
    </xf>
    <xf numFmtId="2" fontId="2" fillId="4" borderId="5" xfId="0" applyNumberFormat="1" applyFont="1" applyFill="1" applyBorder="1" applyAlignment="1">
      <alignment horizontal="center" vertical="center" shrinkToFit="1"/>
    </xf>
    <xf numFmtId="2" fontId="2" fillId="4" borderId="6" xfId="0" applyNumberFormat="1" applyFont="1" applyFill="1" applyBorder="1" applyAlignment="1">
      <alignment horizontal="center" vertical="center" shrinkToFit="1"/>
    </xf>
    <xf numFmtId="0" fontId="0" fillId="0" borderId="15" xfId="0" applyFill="1" applyBorder="1" applyAlignment="1">
      <alignment horizontal="center" vertical="top" wrapText="1"/>
    </xf>
    <xf numFmtId="0" fontId="0" fillId="0" borderId="14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6" fillId="0" borderId="20" xfId="0" applyFont="1" applyFill="1" applyBorder="1" applyAlignment="1">
      <alignment horizontal="center" vertical="top"/>
    </xf>
    <xf numFmtId="2" fontId="0" fillId="0" borderId="0" xfId="0" applyNumberFormat="1" applyFill="1" applyBorder="1" applyAlignment="1">
      <alignment horizontal="left" vertical="top"/>
    </xf>
    <xf numFmtId="0" fontId="3" fillId="3" borderId="2" xfId="0" applyFont="1" applyFill="1" applyBorder="1" applyAlignment="1">
      <alignment horizontal="right" vertical="top" wrapText="1"/>
    </xf>
    <xf numFmtId="2" fontId="2" fillId="3" borderId="2" xfId="0" applyNumberFormat="1" applyFont="1" applyFill="1" applyBorder="1" applyAlignment="1">
      <alignment horizontal="right" vertical="top" shrinkToFit="1"/>
    </xf>
    <xf numFmtId="0" fontId="0" fillId="5" borderId="3" xfId="0" applyFill="1" applyBorder="1" applyAlignment="1">
      <alignment horizontal="left" wrapText="1"/>
    </xf>
    <xf numFmtId="0" fontId="0" fillId="4" borderId="6" xfId="0" applyFill="1" applyBorder="1" applyAlignment="1">
      <alignment horizontal="left" wrapText="1"/>
    </xf>
    <xf numFmtId="2" fontId="2" fillId="4" borderId="6" xfId="0" applyNumberFormat="1" applyFont="1" applyFill="1" applyBorder="1" applyAlignment="1">
      <alignment horizontal="right" vertical="top" shrinkToFit="1"/>
    </xf>
    <xf numFmtId="2" fontId="2" fillId="4" borderId="13" xfId="0" applyNumberFormat="1" applyFont="1" applyFill="1" applyBorder="1" applyAlignment="1">
      <alignment horizontal="center" vertical="center" shrinkToFit="1"/>
    </xf>
    <xf numFmtId="2" fontId="2" fillId="4" borderId="15" xfId="0" applyNumberFormat="1" applyFont="1" applyFill="1" applyBorder="1" applyAlignment="1">
      <alignment horizontal="center" vertical="center" shrinkToFit="1"/>
    </xf>
    <xf numFmtId="2" fontId="2" fillId="4" borderId="14" xfId="0" applyNumberFormat="1" applyFont="1" applyFill="1" applyBorder="1" applyAlignment="1">
      <alignment horizontal="center" vertical="center" shrinkToFit="1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9" borderId="1" xfId="0" applyFill="1" applyBorder="1" applyAlignment="1">
      <alignment horizontal="left" wrapText="1"/>
    </xf>
    <xf numFmtId="0" fontId="0" fillId="10" borderId="0" xfId="0" applyFill="1" applyBorder="1" applyAlignment="1">
      <alignment horizontal="left" vertical="top"/>
    </xf>
    <xf numFmtId="0" fontId="6" fillId="10" borderId="0" xfId="0" applyFont="1" applyFill="1" applyBorder="1" applyAlignment="1">
      <alignment horizontal="left" vertical="top"/>
    </xf>
    <xf numFmtId="0" fontId="0" fillId="11" borderId="21" xfId="0" applyFill="1" applyBorder="1" applyAlignment="1">
      <alignment horizontal="center" vertical="top"/>
    </xf>
    <xf numFmtId="0" fontId="6" fillId="11" borderId="21" xfId="0" applyFont="1" applyFill="1" applyBorder="1" applyAlignment="1">
      <alignment horizontal="center" vertical="top"/>
    </xf>
    <xf numFmtId="0" fontId="0" fillId="13" borderId="21" xfId="0" applyFill="1" applyBorder="1" applyAlignment="1">
      <alignment horizontal="center" vertical="top"/>
    </xf>
    <xf numFmtId="0" fontId="6" fillId="13" borderId="21" xfId="0" applyFont="1" applyFill="1" applyBorder="1" applyAlignment="1">
      <alignment horizontal="center" vertical="top"/>
    </xf>
    <xf numFmtId="0" fontId="0" fillId="12" borderId="21" xfId="0" applyFill="1" applyBorder="1" applyAlignment="1">
      <alignment horizontal="center" vertical="top"/>
    </xf>
    <xf numFmtId="0" fontId="6" fillId="12" borderId="2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32"/>
  <sheetViews>
    <sheetView tabSelected="1" workbookViewId="0">
      <selection activeCell="T12" sqref="T12"/>
    </sheetView>
  </sheetViews>
  <sheetFormatPr defaultRowHeight="13.2" x14ac:dyDescent="0.25"/>
  <cols>
    <col min="1" max="1" width="12.6640625" customWidth="1"/>
  </cols>
  <sheetData>
    <row r="1" spans="1:17" ht="20.399999999999999" x14ac:dyDescent="0.25">
      <c r="A1" s="30" t="s">
        <v>115</v>
      </c>
      <c r="B1" s="1" t="s">
        <v>0</v>
      </c>
      <c r="C1" s="2" t="s">
        <v>1</v>
      </c>
      <c r="D1" s="2" t="s">
        <v>2</v>
      </c>
      <c r="E1" s="102" t="s">
        <v>3</v>
      </c>
      <c r="F1" s="103"/>
      <c r="G1" s="3" t="s">
        <v>4</v>
      </c>
      <c r="H1" s="4" t="s">
        <v>5</v>
      </c>
      <c r="I1" s="5" t="s">
        <v>6</v>
      </c>
      <c r="J1" s="6" t="s">
        <v>7</v>
      </c>
      <c r="K1" s="7" t="s">
        <v>8</v>
      </c>
      <c r="L1" s="3" t="s">
        <v>4</v>
      </c>
      <c r="M1" s="4" t="s">
        <v>5</v>
      </c>
      <c r="N1" s="5" t="s">
        <v>6</v>
      </c>
      <c r="O1" s="6" t="s">
        <v>7</v>
      </c>
      <c r="P1" s="7" t="s">
        <v>8</v>
      </c>
    </row>
    <row r="2" spans="1:17" x14ac:dyDescent="0.25">
      <c r="A2" s="74" t="s">
        <v>116</v>
      </c>
      <c r="B2" s="75">
        <v>1</v>
      </c>
      <c r="C2" s="104" t="s">
        <v>9</v>
      </c>
      <c r="D2" s="93" t="s">
        <v>10</v>
      </c>
      <c r="E2" s="84" t="s">
        <v>11</v>
      </c>
      <c r="F2" s="85"/>
      <c r="G2" s="10">
        <v>100</v>
      </c>
      <c r="H2" s="11"/>
      <c r="I2" s="12"/>
      <c r="J2" s="13">
        <v>98.81</v>
      </c>
      <c r="K2" s="14">
        <v>99.98</v>
      </c>
      <c r="L2" s="10">
        <f>IF(OR(G2="NA",G2=0),0,(1*G2))</f>
        <v>100</v>
      </c>
      <c r="M2" s="11">
        <f t="shared" ref="M2:P2" si="0">IF(OR(H2="NA",H2=0),0,(1*H2))</f>
        <v>0</v>
      </c>
      <c r="N2" s="12">
        <f t="shared" si="0"/>
        <v>0</v>
      </c>
      <c r="O2" s="13">
        <f t="shared" si="0"/>
        <v>98.81</v>
      </c>
      <c r="P2" s="14">
        <f t="shared" si="0"/>
        <v>99.98</v>
      </c>
      <c r="Q2" s="171"/>
    </row>
    <row r="3" spans="1:17" x14ac:dyDescent="0.25">
      <c r="A3" s="73"/>
      <c r="B3" s="76"/>
      <c r="C3" s="105"/>
      <c r="D3" s="94"/>
      <c r="E3" s="88" t="s">
        <v>12</v>
      </c>
      <c r="F3" s="89"/>
      <c r="G3" s="15"/>
      <c r="H3" s="16">
        <v>99.4</v>
      </c>
      <c r="I3" s="12"/>
      <c r="J3" s="17"/>
      <c r="K3" s="18"/>
      <c r="L3" s="10">
        <f t="shared" ref="L3:L32" si="1">IF(OR(G3="NA",G3=0),0,(1*G3))</f>
        <v>0</v>
      </c>
      <c r="M3" s="16">
        <f t="shared" ref="M3:M32" si="2">IF(OR(H3="NA",H3=0),0,(1*H3))</f>
        <v>99.4</v>
      </c>
      <c r="N3" s="12">
        <f t="shared" ref="N3:N32" si="3">IF(OR(I3="NA",I3=0),0,(1*I3))</f>
        <v>0</v>
      </c>
      <c r="O3" s="17">
        <f t="shared" ref="O3:O32" si="4">IF(OR(J3="NA",J3=0),0,(1*J3))</f>
        <v>0</v>
      </c>
      <c r="P3" s="18">
        <f t="shared" ref="P3:P32" si="5">IF(OR(K3="NA",K3=0),0,(1*K3))</f>
        <v>0</v>
      </c>
      <c r="Q3" s="171"/>
    </row>
    <row r="4" spans="1:17" x14ac:dyDescent="0.25">
      <c r="A4" s="73"/>
      <c r="B4" s="77"/>
      <c r="C4" s="106"/>
      <c r="D4" s="95"/>
      <c r="E4" s="88" t="s">
        <v>13</v>
      </c>
      <c r="F4" s="89"/>
      <c r="G4" s="15"/>
      <c r="H4" s="16">
        <v>99.5</v>
      </c>
      <c r="I4" s="12"/>
      <c r="J4" s="17"/>
      <c r="K4" s="18"/>
      <c r="L4" s="10">
        <f t="shared" si="1"/>
        <v>0</v>
      </c>
      <c r="M4" s="16">
        <f t="shared" si="2"/>
        <v>99.5</v>
      </c>
      <c r="N4" s="12">
        <f t="shared" si="3"/>
        <v>0</v>
      </c>
      <c r="O4" s="17">
        <f t="shared" si="4"/>
        <v>0</v>
      </c>
      <c r="P4" s="18">
        <f t="shared" si="5"/>
        <v>0</v>
      </c>
      <c r="Q4" s="171"/>
    </row>
    <row r="5" spans="1:17" x14ac:dyDescent="0.25">
      <c r="A5" s="73" t="s">
        <v>116</v>
      </c>
      <c r="B5" s="75">
        <v>2</v>
      </c>
      <c r="C5" s="93" t="s">
        <v>14</v>
      </c>
      <c r="D5" s="93" t="s">
        <v>15</v>
      </c>
      <c r="E5" s="84" t="s">
        <v>11</v>
      </c>
      <c r="F5" s="85"/>
      <c r="G5" s="15"/>
      <c r="H5" s="11"/>
      <c r="I5" s="12"/>
      <c r="J5" s="13">
        <v>100</v>
      </c>
      <c r="K5" s="18"/>
      <c r="L5" s="10">
        <f t="shared" si="1"/>
        <v>0</v>
      </c>
      <c r="M5" s="11">
        <f t="shared" si="2"/>
        <v>0</v>
      </c>
      <c r="N5" s="12">
        <f t="shared" si="3"/>
        <v>0</v>
      </c>
      <c r="O5" s="13">
        <f t="shared" si="4"/>
        <v>100</v>
      </c>
      <c r="P5" s="18">
        <f t="shared" si="5"/>
        <v>0</v>
      </c>
      <c r="Q5" s="171"/>
    </row>
    <row r="6" spans="1:17" x14ac:dyDescent="0.25">
      <c r="A6" s="73"/>
      <c r="B6" s="76"/>
      <c r="C6" s="94"/>
      <c r="D6" s="94"/>
      <c r="E6" s="86" t="s">
        <v>16</v>
      </c>
      <c r="F6" s="87"/>
      <c r="G6" s="10">
        <v>100</v>
      </c>
      <c r="H6" s="16">
        <v>96.6</v>
      </c>
      <c r="I6" s="12"/>
      <c r="J6" s="17"/>
      <c r="K6" s="14">
        <v>100</v>
      </c>
      <c r="L6" s="10">
        <f t="shared" si="1"/>
        <v>100</v>
      </c>
      <c r="M6" s="16">
        <f t="shared" si="2"/>
        <v>96.6</v>
      </c>
      <c r="N6" s="12">
        <f t="shared" si="3"/>
        <v>0</v>
      </c>
      <c r="O6" s="17">
        <f t="shared" si="4"/>
        <v>0</v>
      </c>
      <c r="P6" s="14">
        <f t="shared" si="5"/>
        <v>100</v>
      </c>
      <c r="Q6" s="171"/>
    </row>
    <row r="7" spans="1:17" x14ac:dyDescent="0.25">
      <c r="A7" s="73"/>
      <c r="B7" s="76"/>
      <c r="C7" s="94"/>
      <c r="D7" s="94"/>
      <c r="E7" s="88" t="s">
        <v>13</v>
      </c>
      <c r="F7" s="89"/>
      <c r="G7" s="10">
        <v>100</v>
      </c>
      <c r="H7" s="16">
        <v>98.7</v>
      </c>
      <c r="I7" s="12"/>
      <c r="J7" s="17"/>
      <c r="K7" s="14">
        <v>100</v>
      </c>
      <c r="L7" s="10">
        <f t="shared" si="1"/>
        <v>100</v>
      </c>
      <c r="M7" s="16">
        <f t="shared" si="2"/>
        <v>98.7</v>
      </c>
      <c r="N7" s="12">
        <f t="shared" si="3"/>
        <v>0</v>
      </c>
      <c r="O7" s="17">
        <f t="shared" si="4"/>
        <v>0</v>
      </c>
      <c r="P7" s="14">
        <f t="shared" si="5"/>
        <v>100</v>
      </c>
      <c r="Q7" s="171"/>
    </row>
    <row r="8" spans="1:17" x14ac:dyDescent="0.25">
      <c r="A8" s="73"/>
      <c r="B8" s="77"/>
      <c r="C8" s="95"/>
      <c r="D8" s="95"/>
      <c r="E8" s="88" t="s">
        <v>17</v>
      </c>
      <c r="F8" s="89"/>
      <c r="G8" s="10">
        <v>100</v>
      </c>
      <c r="H8" s="11"/>
      <c r="I8" s="12"/>
      <c r="J8" s="17"/>
      <c r="K8" s="14">
        <v>100</v>
      </c>
      <c r="L8" s="10">
        <f t="shared" si="1"/>
        <v>100</v>
      </c>
      <c r="M8" s="11">
        <f t="shared" si="2"/>
        <v>0</v>
      </c>
      <c r="N8" s="12">
        <f t="shared" si="3"/>
        <v>0</v>
      </c>
      <c r="O8" s="17">
        <f t="shared" si="4"/>
        <v>0</v>
      </c>
      <c r="P8" s="14">
        <f t="shared" si="5"/>
        <v>100</v>
      </c>
      <c r="Q8" s="172" t="s">
        <v>141</v>
      </c>
    </row>
    <row r="9" spans="1:17" x14ac:dyDescent="0.25">
      <c r="A9" s="73" t="s">
        <v>116</v>
      </c>
      <c r="B9" s="75">
        <v>3</v>
      </c>
      <c r="C9" s="93" t="s">
        <v>18</v>
      </c>
      <c r="D9" s="93" t="s">
        <v>19</v>
      </c>
      <c r="E9" s="84" t="s">
        <v>11</v>
      </c>
      <c r="F9" s="85"/>
      <c r="G9" s="15"/>
      <c r="H9" s="11"/>
      <c r="I9" s="12"/>
      <c r="J9" s="13">
        <v>100</v>
      </c>
      <c r="K9" s="18"/>
      <c r="L9" s="10">
        <f t="shared" si="1"/>
        <v>0</v>
      </c>
      <c r="M9" s="11">
        <f t="shared" si="2"/>
        <v>0</v>
      </c>
      <c r="N9" s="12">
        <f t="shared" si="3"/>
        <v>0</v>
      </c>
      <c r="O9" s="13">
        <f t="shared" si="4"/>
        <v>100</v>
      </c>
      <c r="P9" s="18">
        <f t="shared" si="5"/>
        <v>0</v>
      </c>
      <c r="Q9" s="171"/>
    </row>
    <row r="10" spans="1:17" x14ac:dyDescent="0.25">
      <c r="A10" s="73"/>
      <c r="B10" s="76"/>
      <c r="C10" s="94"/>
      <c r="D10" s="94"/>
      <c r="E10" s="86" t="s">
        <v>16</v>
      </c>
      <c r="F10" s="87"/>
      <c r="G10" s="10">
        <v>100</v>
      </c>
      <c r="H10" s="16">
        <v>99.5</v>
      </c>
      <c r="I10" s="12"/>
      <c r="J10" s="17"/>
      <c r="K10" s="14">
        <v>100</v>
      </c>
      <c r="L10" s="10">
        <f t="shared" si="1"/>
        <v>100</v>
      </c>
      <c r="M10" s="16">
        <f t="shared" si="2"/>
        <v>99.5</v>
      </c>
      <c r="N10" s="12">
        <f t="shared" si="3"/>
        <v>0</v>
      </c>
      <c r="O10" s="17">
        <f t="shared" si="4"/>
        <v>0</v>
      </c>
      <c r="P10" s="14">
        <f t="shared" si="5"/>
        <v>100</v>
      </c>
      <c r="Q10" s="171"/>
    </row>
    <row r="11" spans="1:17" x14ac:dyDescent="0.25">
      <c r="A11" s="73"/>
      <c r="B11" s="76"/>
      <c r="C11" s="94"/>
      <c r="D11" s="94"/>
      <c r="E11" s="88" t="s">
        <v>13</v>
      </c>
      <c r="F11" s="89"/>
      <c r="G11" s="10">
        <v>100</v>
      </c>
      <c r="H11" s="16">
        <v>99.3</v>
      </c>
      <c r="I11" s="12"/>
      <c r="J11" s="17"/>
      <c r="K11" s="14">
        <v>100</v>
      </c>
      <c r="L11" s="10">
        <f t="shared" si="1"/>
        <v>100</v>
      </c>
      <c r="M11" s="16">
        <f t="shared" si="2"/>
        <v>99.3</v>
      </c>
      <c r="N11" s="12">
        <f t="shared" si="3"/>
        <v>0</v>
      </c>
      <c r="O11" s="17">
        <f t="shared" si="4"/>
        <v>0</v>
      </c>
      <c r="P11" s="14">
        <f t="shared" si="5"/>
        <v>100</v>
      </c>
      <c r="Q11" s="171"/>
    </row>
    <row r="12" spans="1:17" x14ac:dyDescent="0.25">
      <c r="A12" s="73"/>
      <c r="B12" s="77"/>
      <c r="C12" s="95"/>
      <c r="D12" s="95"/>
      <c r="E12" s="88" t="s">
        <v>17</v>
      </c>
      <c r="F12" s="89"/>
      <c r="G12" s="10">
        <v>100</v>
      </c>
      <c r="H12" s="11"/>
      <c r="I12" s="12"/>
      <c r="J12" s="17"/>
      <c r="K12" s="14">
        <v>100</v>
      </c>
      <c r="L12" s="10">
        <f t="shared" si="1"/>
        <v>100</v>
      </c>
      <c r="M12" s="11">
        <f t="shared" si="2"/>
        <v>0</v>
      </c>
      <c r="N12" s="12">
        <f t="shared" si="3"/>
        <v>0</v>
      </c>
      <c r="O12" s="17">
        <f t="shared" si="4"/>
        <v>0</v>
      </c>
      <c r="P12" s="14">
        <f t="shared" si="5"/>
        <v>100</v>
      </c>
      <c r="Q12" s="171"/>
    </row>
    <row r="13" spans="1:17" x14ac:dyDescent="0.25">
      <c r="A13" s="73" t="s">
        <v>116</v>
      </c>
      <c r="B13" s="75">
        <v>4</v>
      </c>
      <c r="C13" s="99" t="s">
        <v>20</v>
      </c>
      <c r="D13" s="99" t="s">
        <v>21</v>
      </c>
      <c r="E13" s="8" t="s">
        <v>22</v>
      </c>
      <c r="F13" s="19" t="s">
        <v>23</v>
      </c>
      <c r="G13" s="15"/>
      <c r="H13" s="11"/>
      <c r="I13" s="12"/>
      <c r="J13" s="17"/>
      <c r="K13" s="18"/>
      <c r="L13" s="10">
        <f t="shared" si="1"/>
        <v>0</v>
      </c>
      <c r="M13" s="11">
        <f t="shared" si="2"/>
        <v>0</v>
      </c>
      <c r="N13" s="12">
        <f t="shared" si="3"/>
        <v>0</v>
      </c>
      <c r="O13" s="17">
        <f t="shared" si="4"/>
        <v>0</v>
      </c>
      <c r="P13" s="18">
        <f t="shared" si="5"/>
        <v>0</v>
      </c>
      <c r="Q13" s="176" t="s">
        <v>143</v>
      </c>
    </row>
    <row r="14" spans="1:17" x14ac:dyDescent="0.25">
      <c r="A14" s="73"/>
      <c r="B14" s="76"/>
      <c r="C14" s="100"/>
      <c r="D14" s="100"/>
      <c r="E14" s="8" t="s">
        <v>12</v>
      </c>
      <c r="F14" s="19" t="s">
        <v>23</v>
      </c>
      <c r="G14" s="10">
        <v>133.84</v>
      </c>
      <c r="H14" s="16">
        <v>58.17</v>
      </c>
      <c r="I14" s="12"/>
      <c r="J14" s="17"/>
      <c r="K14" s="14">
        <v>114.3</v>
      </c>
      <c r="L14" s="10">
        <f t="shared" si="1"/>
        <v>133.84</v>
      </c>
      <c r="M14" s="16">
        <f t="shared" si="2"/>
        <v>58.17</v>
      </c>
      <c r="N14" s="12">
        <f t="shared" si="3"/>
        <v>0</v>
      </c>
      <c r="O14" s="17">
        <f t="shared" si="4"/>
        <v>0</v>
      </c>
      <c r="P14" s="14">
        <f t="shared" si="5"/>
        <v>114.3</v>
      </c>
      <c r="Q14" s="175"/>
    </row>
    <row r="15" spans="1:17" x14ac:dyDescent="0.25">
      <c r="A15" s="73"/>
      <c r="B15" s="76"/>
      <c r="C15" s="100"/>
      <c r="D15" s="100"/>
      <c r="E15" s="8" t="s">
        <v>13</v>
      </c>
      <c r="F15" s="19" t="s">
        <v>23</v>
      </c>
      <c r="G15" s="10">
        <v>892.85</v>
      </c>
      <c r="H15" s="16">
        <v>1343.17</v>
      </c>
      <c r="I15" s="12"/>
      <c r="J15" s="17"/>
      <c r="K15" s="14">
        <v>1547.74</v>
      </c>
      <c r="L15" s="10">
        <f t="shared" si="1"/>
        <v>892.85</v>
      </c>
      <c r="M15" s="16">
        <f t="shared" si="2"/>
        <v>1343.17</v>
      </c>
      <c r="N15" s="12">
        <f t="shared" si="3"/>
        <v>0</v>
      </c>
      <c r="O15" s="17">
        <f t="shared" si="4"/>
        <v>0</v>
      </c>
      <c r="P15" s="14">
        <f t="shared" si="5"/>
        <v>1547.74</v>
      </c>
      <c r="Q15" s="175"/>
    </row>
    <row r="16" spans="1:17" x14ac:dyDescent="0.25">
      <c r="A16" s="73"/>
      <c r="B16" s="77"/>
      <c r="C16" s="101"/>
      <c r="D16" s="101"/>
      <c r="E16" s="8" t="s">
        <v>17</v>
      </c>
      <c r="F16" s="19" t="s">
        <v>24</v>
      </c>
      <c r="G16" s="10">
        <v>11510.39</v>
      </c>
      <c r="H16" s="11"/>
      <c r="I16" s="12"/>
      <c r="J16" s="13">
        <v>6680.35</v>
      </c>
      <c r="K16" s="14">
        <v>8035.84</v>
      </c>
      <c r="L16" s="10">
        <f t="shared" si="1"/>
        <v>11510.39</v>
      </c>
      <c r="M16" s="11">
        <f t="shared" si="2"/>
        <v>0</v>
      </c>
      <c r="N16" s="12">
        <f t="shared" si="3"/>
        <v>0</v>
      </c>
      <c r="O16" s="13">
        <f t="shared" si="4"/>
        <v>6680.35</v>
      </c>
      <c r="P16" s="14">
        <f t="shared" si="5"/>
        <v>8035.84</v>
      </c>
      <c r="Q16" s="175"/>
    </row>
    <row r="17" spans="1:17" x14ac:dyDescent="0.25">
      <c r="A17" s="73" t="s">
        <v>116</v>
      </c>
      <c r="B17" s="75">
        <v>5</v>
      </c>
      <c r="C17" s="99" t="s">
        <v>25</v>
      </c>
      <c r="D17" s="99" t="s">
        <v>26</v>
      </c>
      <c r="E17" s="8" t="s">
        <v>22</v>
      </c>
      <c r="F17" s="19" t="s">
        <v>23</v>
      </c>
      <c r="G17" s="15"/>
      <c r="H17" s="11"/>
      <c r="I17" s="12"/>
      <c r="J17" s="17"/>
      <c r="K17" s="18"/>
      <c r="L17" s="10">
        <f t="shared" si="1"/>
        <v>0</v>
      </c>
      <c r="M17" s="11">
        <f t="shared" si="2"/>
        <v>0</v>
      </c>
      <c r="N17" s="12">
        <f t="shared" si="3"/>
        <v>0</v>
      </c>
      <c r="O17" s="17">
        <f t="shared" si="4"/>
        <v>0</v>
      </c>
      <c r="P17" s="18">
        <f t="shared" si="5"/>
        <v>0</v>
      </c>
      <c r="Q17" s="178" t="s">
        <v>143</v>
      </c>
    </row>
    <row r="18" spans="1:17" x14ac:dyDescent="0.25">
      <c r="A18" s="73"/>
      <c r="B18" s="76"/>
      <c r="C18" s="100"/>
      <c r="D18" s="100"/>
      <c r="E18" s="8" t="s">
        <v>12</v>
      </c>
      <c r="F18" s="19" t="s">
        <v>23</v>
      </c>
      <c r="G18" s="10">
        <v>153.94999999999999</v>
      </c>
      <c r="H18" s="16">
        <v>127.33</v>
      </c>
      <c r="I18" s="12"/>
      <c r="J18" s="17"/>
      <c r="K18" s="14">
        <v>222.34</v>
      </c>
      <c r="L18" s="10">
        <f t="shared" si="1"/>
        <v>153.94999999999999</v>
      </c>
      <c r="M18" s="16">
        <f t="shared" si="2"/>
        <v>127.33</v>
      </c>
      <c r="N18" s="12">
        <f t="shared" si="3"/>
        <v>0</v>
      </c>
      <c r="O18" s="17">
        <f t="shared" si="4"/>
        <v>0</v>
      </c>
      <c r="P18" s="14">
        <f t="shared" si="5"/>
        <v>222.34</v>
      </c>
      <c r="Q18" s="177"/>
    </row>
    <row r="19" spans="1:17" x14ac:dyDescent="0.25">
      <c r="A19" s="73"/>
      <c r="B19" s="76"/>
      <c r="C19" s="100"/>
      <c r="D19" s="100"/>
      <c r="E19" s="8" t="s">
        <v>13</v>
      </c>
      <c r="F19" s="19" t="s">
        <v>23</v>
      </c>
      <c r="G19" s="10">
        <v>1504.15</v>
      </c>
      <c r="H19" s="16">
        <v>3207.34</v>
      </c>
      <c r="I19" s="12"/>
      <c r="J19" s="17"/>
      <c r="K19" s="14">
        <v>4580.5600000000004</v>
      </c>
      <c r="L19" s="10">
        <f t="shared" si="1"/>
        <v>1504.15</v>
      </c>
      <c r="M19" s="16">
        <f t="shared" si="2"/>
        <v>3207.34</v>
      </c>
      <c r="N19" s="12">
        <f t="shared" si="3"/>
        <v>0</v>
      </c>
      <c r="O19" s="17">
        <f t="shared" si="4"/>
        <v>0</v>
      </c>
      <c r="P19" s="14">
        <f t="shared" si="5"/>
        <v>4580.5600000000004</v>
      </c>
      <c r="Q19" s="177"/>
    </row>
    <row r="20" spans="1:17" x14ac:dyDescent="0.25">
      <c r="A20" s="73"/>
      <c r="B20" s="77"/>
      <c r="C20" s="101"/>
      <c r="D20" s="101"/>
      <c r="E20" s="8" t="s">
        <v>17</v>
      </c>
      <c r="F20" s="19" t="s">
        <v>24</v>
      </c>
      <c r="G20" s="10">
        <v>20427.669999999998</v>
      </c>
      <c r="H20" s="11"/>
      <c r="I20" s="12"/>
      <c r="J20" s="13">
        <v>21459.18</v>
      </c>
      <c r="K20" s="14">
        <v>13994.96</v>
      </c>
      <c r="L20" s="10">
        <f t="shared" si="1"/>
        <v>20427.669999999998</v>
      </c>
      <c r="M20" s="11">
        <f t="shared" si="2"/>
        <v>0</v>
      </c>
      <c r="N20" s="12">
        <f t="shared" si="3"/>
        <v>0</v>
      </c>
      <c r="O20" s="13">
        <f t="shared" si="4"/>
        <v>21459.18</v>
      </c>
      <c r="P20" s="14">
        <f t="shared" si="5"/>
        <v>13994.96</v>
      </c>
      <c r="Q20" s="177"/>
    </row>
    <row r="21" spans="1:17" x14ac:dyDescent="0.25">
      <c r="A21" s="73" t="s">
        <v>116</v>
      </c>
      <c r="B21" s="75">
        <v>6</v>
      </c>
      <c r="C21" s="93" t="s">
        <v>27</v>
      </c>
      <c r="D21" s="96" t="s">
        <v>28</v>
      </c>
      <c r="E21" s="84" t="s">
        <v>11</v>
      </c>
      <c r="F21" s="85"/>
      <c r="G21" s="15"/>
      <c r="H21" s="11"/>
      <c r="I21" s="12"/>
      <c r="J21" s="13">
        <v>51.78</v>
      </c>
      <c r="K21" s="18"/>
      <c r="L21" s="10">
        <f t="shared" si="1"/>
        <v>0</v>
      </c>
      <c r="M21" s="11">
        <f t="shared" si="2"/>
        <v>0</v>
      </c>
      <c r="N21" s="12">
        <f t="shared" si="3"/>
        <v>0</v>
      </c>
      <c r="O21" s="13">
        <f t="shared" si="4"/>
        <v>51.78</v>
      </c>
      <c r="P21" s="18">
        <f t="shared" si="5"/>
        <v>0</v>
      </c>
      <c r="Q21" s="174" t="s">
        <v>142</v>
      </c>
    </row>
    <row r="22" spans="1:17" x14ac:dyDescent="0.25">
      <c r="A22" s="73"/>
      <c r="B22" s="76"/>
      <c r="C22" s="94"/>
      <c r="D22" s="97"/>
      <c r="E22" s="86" t="s">
        <v>16</v>
      </c>
      <c r="F22" s="87"/>
      <c r="G22" s="10">
        <v>116</v>
      </c>
      <c r="H22" s="16">
        <v>181.05</v>
      </c>
      <c r="I22" s="12"/>
      <c r="J22" s="17"/>
      <c r="K22" s="14">
        <v>142.41999999999999</v>
      </c>
      <c r="L22" s="10">
        <f t="shared" si="1"/>
        <v>116</v>
      </c>
      <c r="M22" s="16">
        <f t="shared" si="2"/>
        <v>181.05</v>
      </c>
      <c r="N22" s="12">
        <f t="shared" si="3"/>
        <v>0</v>
      </c>
      <c r="O22" s="17">
        <f t="shared" si="4"/>
        <v>0</v>
      </c>
      <c r="P22" s="14">
        <f t="shared" si="5"/>
        <v>142.41999999999999</v>
      </c>
      <c r="Q22" s="173"/>
    </row>
    <row r="23" spans="1:17" x14ac:dyDescent="0.25">
      <c r="A23" s="73"/>
      <c r="B23" s="76"/>
      <c r="C23" s="94"/>
      <c r="D23" s="97"/>
      <c r="E23" s="88" t="s">
        <v>13</v>
      </c>
      <c r="F23" s="89"/>
      <c r="G23" s="10">
        <v>85.67</v>
      </c>
      <c r="H23" s="16">
        <v>58.92</v>
      </c>
      <c r="I23" s="12"/>
      <c r="J23" s="17"/>
      <c r="K23" s="14">
        <v>41.5</v>
      </c>
      <c r="L23" s="10">
        <f t="shared" si="1"/>
        <v>85.67</v>
      </c>
      <c r="M23" s="16">
        <f t="shared" si="2"/>
        <v>58.92</v>
      </c>
      <c r="N23" s="12">
        <f t="shared" si="3"/>
        <v>0</v>
      </c>
      <c r="O23" s="17">
        <f t="shared" si="4"/>
        <v>0</v>
      </c>
      <c r="P23" s="14">
        <f t="shared" si="5"/>
        <v>41.5</v>
      </c>
      <c r="Q23" s="173"/>
    </row>
    <row r="24" spans="1:17" x14ac:dyDescent="0.25">
      <c r="A24" s="73"/>
      <c r="B24" s="77"/>
      <c r="C24" s="95"/>
      <c r="D24" s="98"/>
      <c r="E24" s="88" t="s">
        <v>17</v>
      </c>
      <c r="F24" s="89"/>
      <c r="G24" s="10">
        <v>51.33</v>
      </c>
      <c r="H24" s="11"/>
      <c r="I24" s="12"/>
      <c r="J24" s="17"/>
      <c r="K24" s="14">
        <v>37.33</v>
      </c>
      <c r="L24" s="10">
        <f t="shared" si="1"/>
        <v>51.33</v>
      </c>
      <c r="M24" s="11">
        <f t="shared" si="2"/>
        <v>0</v>
      </c>
      <c r="N24" s="12">
        <f t="shared" si="3"/>
        <v>0</v>
      </c>
      <c r="O24" s="17">
        <f t="shared" si="4"/>
        <v>0</v>
      </c>
      <c r="P24" s="14">
        <f t="shared" si="5"/>
        <v>37.33</v>
      </c>
      <c r="Q24" s="173"/>
    </row>
    <row r="25" spans="1:17" x14ac:dyDescent="0.25">
      <c r="A25" s="73" t="s">
        <v>116</v>
      </c>
      <c r="B25" s="75">
        <v>7</v>
      </c>
      <c r="C25" s="90" t="s">
        <v>29</v>
      </c>
      <c r="D25" s="81" t="s">
        <v>30</v>
      </c>
      <c r="E25" s="84" t="s">
        <v>11</v>
      </c>
      <c r="F25" s="85"/>
      <c r="G25" s="15"/>
      <c r="H25" s="11"/>
      <c r="I25" s="12"/>
      <c r="J25" s="13">
        <v>99.76</v>
      </c>
      <c r="K25" s="18"/>
      <c r="L25" s="10">
        <f t="shared" si="1"/>
        <v>0</v>
      </c>
      <c r="M25" s="11">
        <f t="shared" si="2"/>
        <v>0</v>
      </c>
      <c r="N25" s="12">
        <f t="shared" si="3"/>
        <v>0</v>
      </c>
      <c r="O25" s="13">
        <f t="shared" si="4"/>
        <v>99.76</v>
      </c>
      <c r="P25" s="18">
        <f t="shared" si="5"/>
        <v>0</v>
      </c>
      <c r="Q25" s="171"/>
    </row>
    <row r="26" spans="1:17" x14ac:dyDescent="0.25">
      <c r="A26" s="73"/>
      <c r="B26" s="76"/>
      <c r="C26" s="91"/>
      <c r="D26" s="82"/>
      <c r="E26" s="86" t="s">
        <v>16</v>
      </c>
      <c r="F26" s="87"/>
      <c r="G26" s="10">
        <v>99.96</v>
      </c>
      <c r="H26" s="16">
        <v>99.87</v>
      </c>
      <c r="I26" s="12"/>
      <c r="J26" s="17"/>
      <c r="K26" s="14">
        <v>99.86</v>
      </c>
      <c r="L26" s="10">
        <f t="shared" si="1"/>
        <v>99.96</v>
      </c>
      <c r="M26" s="16">
        <f t="shared" si="2"/>
        <v>99.87</v>
      </c>
      <c r="N26" s="12">
        <f t="shared" si="3"/>
        <v>0</v>
      </c>
      <c r="O26" s="17">
        <f t="shared" si="4"/>
        <v>0</v>
      </c>
      <c r="P26" s="14">
        <f t="shared" si="5"/>
        <v>99.86</v>
      </c>
      <c r="Q26" s="171"/>
    </row>
    <row r="27" spans="1:17" x14ac:dyDescent="0.25">
      <c r="A27" s="73"/>
      <c r="B27" s="76"/>
      <c r="C27" s="91"/>
      <c r="D27" s="82"/>
      <c r="E27" s="88" t="s">
        <v>13</v>
      </c>
      <c r="F27" s="89"/>
      <c r="G27" s="10">
        <v>99.96</v>
      </c>
      <c r="H27" s="16">
        <v>99.48</v>
      </c>
      <c r="I27" s="12"/>
      <c r="J27" s="17"/>
      <c r="K27" s="14">
        <v>95.95</v>
      </c>
      <c r="L27" s="10">
        <f t="shared" si="1"/>
        <v>99.96</v>
      </c>
      <c r="M27" s="16">
        <f t="shared" si="2"/>
        <v>99.48</v>
      </c>
      <c r="N27" s="12">
        <f t="shared" si="3"/>
        <v>0</v>
      </c>
      <c r="O27" s="17">
        <f t="shared" si="4"/>
        <v>0</v>
      </c>
      <c r="P27" s="14">
        <f t="shared" si="5"/>
        <v>95.95</v>
      </c>
      <c r="Q27" s="171"/>
    </row>
    <row r="28" spans="1:17" x14ac:dyDescent="0.25">
      <c r="A28" s="73"/>
      <c r="B28" s="77"/>
      <c r="C28" s="92"/>
      <c r="D28" s="83"/>
      <c r="E28" s="88" t="s">
        <v>17</v>
      </c>
      <c r="F28" s="89"/>
      <c r="G28" s="10">
        <v>99.82</v>
      </c>
      <c r="H28" s="11"/>
      <c r="I28" s="12"/>
      <c r="J28" s="17"/>
      <c r="K28" s="14">
        <v>95.74</v>
      </c>
      <c r="L28" s="10">
        <f t="shared" si="1"/>
        <v>99.82</v>
      </c>
      <c r="M28" s="11">
        <f t="shared" si="2"/>
        <v>0</v>
      </c>
      <c r="N28" s="12">
        <f t="shared" si="3"/>
        <v>0</v>
      </c>
      <c r="O28" s="17">
        <f t="shared" si="4"/>
        <v>0</v>
      </c>
      <c r="P28" s="14">
        <f t="shared" si="5"/>
        <v>95.74</v>
      </c>
      <c r="Q28" s="171"/>
    </row>
    <row r="29" spans="1:17" x14ac:dyDescent="0.25">
      <c r="A29" s="73" t="s">
        <v>116</v>
      </c>
      <c r="B29" s="75">
        <v>8</v>
      </c>
      <c r="C29" s="78" t="s">
        <v>31</v>
      </c>
      <c r="D29" s="81" t="s">
        <v>32</v>
      </c>
      <c r="E29" s="84" t="s">
        <v>11</v>
      </c>
      <c r="F29" s="85"/>
      <c r="G29" s="15"/>
      <c r="H29" s="11"/>
      <c r="I29" s="12"/>
      <c r="J29" s="13">
        <v>0.46</v>
      </c>
      <c r="K29" s="18"/>
      <c r="L29" s="10">
        <f t="shared" si="1"/>
        <v>0</v>
      </c>
      <c r="M29" s="11">
        <f t="shared" si="2"/>
        <v>0</v>
      </c>
      <c r="N29" s="12">
        <f t="shared" si="3"/>
        <v>0</v>
      </c>
      <c r="O29" s="13">
        <f t="shared" si="4"/>
        <v>0.46</v>
      </c>
      <c r="P29" s="18">
        <f t="shared" si="5"/>
        <v>0</v>
      </c>
      <c r="Q29" s="172" t="s">
        <v>141</v>
      </c>
    </row>
    <row r="30" spans="1:17" x14ac:dyDescent="0.25">
      <c r="A30" s="73"/>
      <c r="B30" s="76"/>
      <c r="C30" s="79"/>
      <c r="D30" s="82"/>
      <c r="E30" s="86" t="s">
        <v>16</v>
      </c>
      <c r="F30" s="87"/>
      <c r="G30" s="10">
        <v>2.1</v>
      </c>
      <c r="H30" s="16">
        <v>0.7</v>
      </c>
      <c r="I30" s="12"/>
      <c r="J30" s="17"/>
      <c r="K30" s="14">
        <v>3.96</v>
      </c>
      <c r="L30" s="10">
        <f t="shared" si="1"/>
        <v>2.1</v>
      </c>
      <c r="M30" s="16">
        <f t="shared" si="2"/>
        <v>0.7</v>
      </c>
      <c r="N30" s="12">
        <f t="shared" si="3"/>
        <v>0</v>
      </c>
      <c r="O30" s="17">
        <f t="shared" si="4"/>
        <v>0</v>
      </c>
      <c r="P30" s="14">
        <f t="shared" si="5"/>
        <v>3.96</v>
      </c>
      <c r="Q30" s="171"/>
    </row>
    <row r="31" spans="1:17" x14ac:dyDescent="0.25">
      <c r="A31" s="73"/>
      <c r="B31" s="76"/>
      <c r="C31" s="79"/>
      <c r="D31" s="82"/>
      <c r="E31" s="88" t="s">
        <v>13</v>
      </c>
      <c r="F31" s="89"/>
      <c r="G31" s="10">
        <v>0.77</v>
      </c>
      <c r="H31" s="16">
        <v>0.9</v>
      </c>
      <c r="I31" s="12"/>
      <c r="J31" s="17"/>
      <c r="K31" s="14">
        <v>0.96</v>
      </c>
      <c r="L31" s="10">
        <f t="shared" si="1"/>
        <v>0.77</v>
      </c>
      <c r="M31" s="16">
        <f t="shared" si="2"/>
        <v>0.9</v>
      </c>
      <c r="N31" s="12">
        <f t="shared" si="3"/>
        <v>0</v>
      </c>
      <c r="O31" s="17">
        <f t="shared" si="4"/>
        <v>0</v>
      </c>
      <c r="P31" s="14">
        <f t="shared" si="5"/>
        <v>0.96</v>
      </c>
      <c r="Q31" s="171"/>
    </row>
    <row r="32" spans="1:17" x14ac:dyDescent="0.25">
      <c r="A32" s="73"/>
      <c r="B32" s="77"/>
      <c r="C32" s="80"/>
      <c r="D32" s="83"/>
      <c r="E32" s="88" t="s">
        <v>17</v>
      </c>
      <c r="F32" s="89"/>
      <c r="G32" s="10">
        <v>0.35</v>
      </c>
      <c r="H32" s="11"/>
      <c r="I32" s="12"/>
      <c r="J32" s="17"/>
      <c r="K32" s="14">
        <v>0.56999999999999995</v>
      </c>
      <c r="L32" s="10">
        <f t="shared" si="1"/>
        <v>0.35</v>
      </c>
      <c r="M32" s="11">
        <f t="shared" si="2"/>
        <v>0</v>
      </c>
      <c r="N32" s="12">
        <f t="shared" si="3"/>
        <v>0</v>
      </c>
      <c r="O32" s="17">
        <f t="shared" si="4"/>
        <v>0</v>
      </c>
      <c r="P32" s="14">
        <f t="shared" si="5"/>
        <v>0.56999999999999995</v>
      </c>
      <c r="Q32" s="171"/>
    </row>
  </sheetData>
  <mergeCells count="59">
    <mergeCell ref="Q21:Q24"/>
    <mergeCell ref="Q13:Q16"/>
    <mergeCell ref="Q17:Q20"/>
    <mergeCell ref="E1:F1"/>
    <mergeCell ref="B2:B4"/>
    <mergeCell ref="C2:C4"/>
    <mergeCell ref="D2:D4"/>
    <mergeCell ref="E2:F2"/>
    <mergeCell ref="E3:F3"/>
    <mergeCell ref="E4:F4"/>
    <mergeCell ref="B5:B8"/>
    <mergeCell ref="C5:C8"/>
    <mergeCell ref="D5:D8"/>
    <mergeCell ref="E5:F5"/>
    <mergeCell ref="E6:F6"/>
    <mergeCell ref="E7:F7"/>
    <mergeCell ref="E8:F8"/>
    <mergeCell ref="B9:B12"/>
    <mergeCell ref="C9:C12"/>
    <mergeCell ref="D9:D12"/>
    <mergeCell ref="E9:F9"/>
    <mergeCell ref="E10:F10"/>
    <mergeCell ref="E11:F11"/>
    <mergeCell ref="E12:F12"/>
    <mergeCell ref="B13:B16"/>
    <mergeCell ref="C13:C16"/>
    <mergeCell ref="D13:D16"/>
    <mergeCell ref="B17:B20"/>
    <mergeCell ref="C17:C20"/>
    <mergeCell ref="D17:D20"/>
    <mergeCell ref="B21:B24"/>
    <mergeCell ref="C21:C24"/>
    <mergeCell ref="D21:D24"/>
    <mergeCell ref="E21:F21"/>
    <mergeCell ref="E22:F22"/>
    <mergeCell ref="E23:F23"/>
    <mergeCell ref="E24:F24"/>
    <mergeCell ref="B25:B28"/>
    <mergeCell ref="C25:C28"/>
    <mergeCell ref="D25:D28"/>
    <mergeCell ref="E25:F25"/>
    <mergeCell ref="E26:F26"/>
    <mergeCell ref="E27:F27"/>
    <mergeCell ref="E28:F28"/>
    <mergeCell ref="B29:B32"/>
    <mergeCell ref="C29:C32"/>
    <mergeCell ref="D29:D32"/>
    <mergeCell ref="E29:F29"/>
    <mergeCell ref="E30:F30"/>
    <mergeCell ref="E31:F31"/>
    <mergeCell ref="E32:F32"/>
    <mergeCell ref="A25:A28"/>
    <mergeCell ref="A29:A32"/>
    <mergeCell ref="A2:A4"/>
    <mergeCell ref="A5:A8"/>
    <mergeCell ref="A9:A12"/>
    <mergeCell ref="A13:A16"/>
    <mergeCell ref="A17:A20"/>
    <mergeCell ref="A21:A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120"/>
  <sheetViews>
    <sheetView workbookViewId="0">
      <selection activeCell="L3" sqref="L3"/>
    </sheetView>
  </sheetViews>
  <sheetFormatPr defaultRowHeight="13.2" x14ac:dyDescent="0.25"/>
  <sheetData>
    <row r="1" spans="1:25" ht="20.399999999999999" x14ac:dyDescent="0.25">
      <c r="A1" s="31" t="s">
        <v>115</v>
      </c>
      <c r="B1" s="32" t="s">
        <v>0</v>
      </c>
      <c r="C1" s="33" t="s">
        <v>1</v>
      </c>
      <c r="D1" s="33" t="s">
        <v>2</v>
      </c>
      <c r="E1" s="109" t="s">
        <v>3</v>
      </c>
      <c r="F1" s="109"/>
      <c r="G1" s="34" t="s">
        <v>4</v>
      </c>
      <c r="H1" s="35" t="s">
        <v>5</v>
      </c>
      <c r="I1" s="36" t="s">
        <v>6</v>
      </c>
      <c r="J1" s="37" t="s">
        <v>7</v>
      </c>
      <c r="K1" s="38" t="s">
        <v>8</v>
      </c>
      <c r="L1" s="34" t="s">
        <v>4</v>
      </c>
      <c r="M1" s="35" t="s">
        <v>5</v>
      </c>
      <c r="N1" s="36" t="s">
        <v>6</v>
      </c>
      <c r="O1" s="37" t="s">
        <v>7</v>
      </c>
      <c r="P1" s="38" t="s">
        <v>8</v>
      </c>
      <c r="U1" s="34" t="s">
        <v>4</v>
      </c>
      <c r="V1" s="35" t="s">
        <v>5</v>
      </c>
      <c r="W1" s="36" t="s">
        <v>6</v>
      </c>
      <c r="X1" s="37" t="s">
        <v>7</v>
      </c>
      <c r="Y1" s="38" t="s">
        <v>8</v>
      </c>
    </row>
    <row r="2" spans="1:25" x14ac:dyDescent="0.25">
      <c r="A2" s="108" t="s">
        <v>117</v>
      </c>
      <c r="B2" s="110">
        <v>1</v>
      </c>
      <c r="C2" s="118" t="s">
        <v>9</v>
      </c>
      <c r="D2" s="118" t="s">
        <v>33</v>
      </c>
      <c r="E2" s="113" t="s">
        <v>11</v>
      </c>
      <c r="F2" s="113"/>
      <c r="G2" s="39">
        <v>100</v>
      </c>
      <c r="H2" s="40"/>
      <c r="I2" s="41"/>
      <c r="J2" s="42">
        <v>97.03</v>
      </c>
      <c r="K2" s="43">
        <v>99.98</v>
      </c>
      <c r="L2" s="39">
        <f>IF(OR(G2="NA",G2=0),0,(1*G2))</f>
        <v>100</v>
      </c>
      <c r="M2" s="40">
        <f t="shared" ref="M2:P2" si="0">IF(OR(H2="NA",H2=0),0,(1*H2))</f>
        <v>0</v>
      </c>
      <c r="N2" s="41">
        <f t="shared" si="0"/>
        <v>0</v>
      </c>
      <c r="O2" s="42">
        <f t="shared" si="0"/>
        <v>97.03</v>
      </c>
      <c r="P2" s="43">
        <f t="shared" si="0"/>
        <v>99.98</v>
      </c>
      <c r="U2" s="39">
        <v>100</v>
      </c>
      <c r="V2" s="40"/>
      <c r="W2" s="41"/>
      <c r="X2" s="42">
        <v>97.03</v>
      </c>
      <c r="Y2" s="43">
        <v>99.98</v>
      </c>
    </row>
    <row r="3" spans="1:25" x14ac:dyDescent="0.25">
      <c r="A3" s="108"/>
      <c r="B3" s="110"/>
      <c r="C3" s="118"/>
      <c r="D3" s="118"/>
      <c r="E3" s="114" t="s">
        <v>12</v>
      </c>
      <c r="F3" s="114"/>
      <c r="G3" s="44"/>
      <c r="H3" s="68">
        <v>100</v>
      </c>
      <c r="I3" s="41"/>
      <c r="J3" s="46"/>
      <c r="K3" s="47"/>
      <c r="L3" s="39">
        <f t="shared" ref="L3:L66" si="1">IF(OR(G3="NA",G3=0),0,(1*G3))</f>
        <v>0</v>
      </c>
      <c r="M3" s="68">
        <f t="shared" ref="M3:M66" si="2">IF(OR(H3="NA",H3=0),0,(1*H3))</f>
        <v>100</v>
      </c>
      <c r="N3" s="41">
        <f t="shared" ref="N3:N66" si="3">IF(OR(I3="NA",I3=0),0,(1*I3))</f>
        <v>0</v>
      </c>
      <c r="O3" s="46">
        <f t="shared" ref="O3:O66" si="4">IF(OR(J3="NA",J3=0),0,(1*J3))</f>
        <v>0</v>
      </c>
      <c r="P3" s="47">
        <f t="shared" ref="P3:P66" si="5">IF(OR(K3="NA",K3=0),0,(1*K3))</f>
        <v>0</v>
      </c>
      <c r="U3" s="44"/>
      <c r="V3" s="68">
        <v>100</v>
      </c>
      <c r="W3" s="41"/>
      <c r="X3" s="46"/>
      <c r="Y3" s="47"/>
    </row>
    <row r="4" spans="1:25" x14ac:dyDescent="0.25">
      <c r="A4" s="108"/>
      <c r="B4" s="110"/>
      <c r="C4" s="118"/>
      <c r="D4" s="118"/>
      <c r="E4" s="114" t="s">
        <v>13</v>
      </c>
      <c r="F4" s="114"/>
      <c r="G4" s="44"/>
      <c r="H4" s="68">
        <v>100</v>
      </c>
      <c r="I4" s="41"/>
      <c r="J4" s="46"/>
      <c r="K4" s="47"/>
      <c r="L4" s="39">
        <f t="shared" si="1"/>
        <v>0</v>
      </c>
      <c r="M4" s="68">
        <f t="shared" si="2"/>
        <v>100</v>
      </c>
      <c r="N4" s="41">
        <f t="shared" si="3"/>
        <v>0</v>
      </c>
      <c r="O4" s="46">
        <f t="shared" si="4"/>
        <v>0</v>
      </c>
      <c r="P4" s="47">
        <f t="shared" si="5"/>
        <v>0</v>
      </c>
      <c r="U4" s="44"/>
      <c r="V4" s="68">
        <v>100</v>
      </c>
      <c r="W4" s="41"/>
      <c r="X4" s="46"/>
      <c r="Y4" s="47"/>
    </row>
    <row r="5" spans="1:25" x14ac:dyDescent="0.25">
      <c r="A5" s="107" t="s">
        <v>117</v>
      </c>
      <c r="B5" s="110">
        <v>2</v>
      </c>
      <c r="C5" s="114" t="s">
        <v>14</v>
      </c>
      <c r="D5" s="114" t="s">
        <v>15</v>
      </c>
      <c r="E5" s="113" t="s">
        <v>11</v>
      </c>
      <c r="F5" s="113"/>
      <c r="G5" s="44"/>
      <c r="H5" s="40"/>
      <c r="I5" s="41"/>
      <c r="J5" s="42">
        <v>100</v>
      </c>
      <c r="K5" s="47"/>
      <c r="L5" s="39">
        <f t="shared" si="1"/>
        <v>0</v>
      </c>
      <c r="M5" s="40">
        <f t="shared" si="2"/>
        <v>0</v>
      </c>
      <c r="N5" s="41">
        <f t="shared" si="3"/>
        <v>0</v>
      </c>
      <c r="O5" s="42">
        <f t="shared" si="4"/>
        <v>100</v>
      </c>
      <c r="P5" s="47">
        <f t="shared" si="5"/>
        <v>0</v>
      </c>
      <c r="U5" s="44"/>
      <c r="V5" s="40"/>
      <c r="W5" s="41"/>
      <c r="X5" s="42">
        <v>100</v>
      </c>
      <c r="Y5" s="47"/>
    </row>
    <row r="6" spans="1:25" x14ac:dyDescent="0.25">
      <c r="A6" s="108"/>
      <c r="B6" s="110"/>
      <c r="C6" s="114"/>
      <c r="D6" s="114"/>
      <c r="E6" s="111" t="s">
        <v>16</v>
      </c>
      <c r="F6" s="111"/>
      <c r="G6" s="39">
        <v>100</v>
      </c>
      <c r="H6" s="68">
        <v>98.3</v>
      </c>
      <c r="I6" s="41"/>
      <c r="J6" s="46"/>
      <c r="K6" s="43">
        <v>100</v>
      </c>
      <c r="L6" s="39">
        <f t="shared" si="1"/>
        <v>100</v>
      </c>
      <c r="M6" s="68">
        <f t="shared" si="2"/>
        <v>98.3</v>
      </c>
      <c r="N6" s="41">
        <f t="shared" si="3"/>
        <v>0</v>
      </c>
      <c r="O6" s="46">
        <f t="shared" si="4"/>
        <v>0</v>
      </c>
      <c r="P6" s="43">
        <f t="shared" si="5"/>
        <v>100</v>
      </c>
      <c r="U6" s="39">
        <v>100</v>
      </c>
      <c r="V6" s="68">
        <v>98.3</v>
      </c>
      <c r="W6" s="41"/>
      <c r="X6" s="46"/>
      <c r="Y6" s="43">
        <v>100</v>
      </c>
    </row>
    <row r="7" spans="1:25" x14ac:dyDescent="0.25">
      <c r="A7" s="108"/>
      <c r="B7" s="110"/>
      <c r="C7" s="114"/>
      <c r="D7" s="114"/>
      <c r="E7" s="114" t="s">
        <v>13</v>
      </c>
      <c r="F7" s="114"/>
      <c r="G7" s="39">
        <v>100</v>
      </c>
      <c r="H7" s="68">
        <v>98.6</v>
      </c>
      <c r="I7" s="41"/>
      <c r="J7" s="46"/>
      <c r="K7" s="43">
        <v>100</v>
      </c>
      <c r="L7" s="39">
        <f t="shared" si="1"/>
        <v>100</v>
      </c>
      <c r="M7" s="68">
        <f t="shared" si="2"/>
        <v>98.6</v>
      </c>
      <c r="N7" s="41">
        <f t="shared" si="3"/>
        <v>0</v>
      </c>
      <c r="O7" s="46">
        <f t="shared" si="4"/>
        <v>0</v>
      </c>
      <c r="P7" s="43">
        <f t="shared" si="5"/>
        <v>100</v>
      </c>
      <c r="U7" s="39">
        <v>100</v>
      </c>
      <c r="V7" s="68">
        <v>98.6</v>
      </c>
      <c r="W7" s="41"/>
      <c r="X7" s="46"/>
      <c r="Y7" s="43">
        <v>100</v>
      </c>
    </row>
    <row r="8" spans="1:25" x14ac:dyDescent="0.25">
      <c r="A8" s="108"/>
      <c r="B8" s="110"/>
      <c r="C8" s="114"/>
      <c r="D8" s="114"/>
      <c r="E8" s="114" t="s">
        <v>17</v>
      </c>
      <c r="F8" s="114"/>
      <c r="G8" s="39">
        <v>100</v>
      </c>
      <c r="H8" s="40"/>
      <c r="I8" s="41"/>
      <c r="J8" s="46"/>
      <c r="K8" s="43">
        <v>100</v>
      </c>
      <c r="L8" s="39">
        <f t="shared" si="1"/>
        <v>100</v>
      </c>
      <c r="M8" s="40">
        <f t="shared" si="2"/>
        <v>0</v>
      </c>
      <c r="N8" s="41">
        <f t="shared" si="3"/>
        <v>0</v>
      </c>
      <c r="O8" s="46">
        <f t="shared" si="4"/>
        <v>0</v>
      </c>
      <c r="P8" s="43">
        <f t="shared" si="5"/>
        <v>100</v>
      </c>
      <c r="U8" s="39">
        <v>100</v>
      </c>
      <c r="V8" s="40"/>
      <c r="W8" s="41"/>
      <c r="X8" s="46"/>
      <c r="Y8" s="43">
        <v>100</v>
      </c>
    </row>
    <row r="9" spans="1:25" x14ac:dyDescent="0.25">
      <c r="A9" s="107" t="s">
        <v>117</v>
      </c>
      <c r="B9" s="110">
        <v>3</v>
      </c>
      <c r="C9" s="114" t="s">
        <v>18</v>
      </c>
      <c r="D9" s="114" t="s">
        <v>19</v>
      </c>
      <c r="E9" s="113" t="s">
        <v>11</v>
      </c>
      <c r="F9" s="113"/>
      <c r="G9" s="44"/>
      <c r="H9" s="40"/>
      <c r="I9" s="41"/>
      <c r="J9" s="42">
        <v>100</v>
      </c>
      <c r="K9" s="47"/>
      <c r="L9" s="39">
        <f t="shared" si="1"/>
        <v>0</v>
      </c>
      <c r="M9" s="40">
        <f t="shared" si="2"/>
        <v>0</v>
      </c>
      <c r="N9" s="41">
        <f t="shared" si="3"/>
        <v>0</v>
      </c>
      <c r="O9" s="42">
        <f t="shared" si="4"/>
        <v>100</v>
      </c>
      <c r="P9" s="47">
        <f t="shared" si="5"/>
        <v>0</v>
      </c>
      <c r="U9" s="44"/>
      <c r="V9" s="40"/>
      <c r="W9" s="41"/>
      <c r="X9" s="42">
        <v>100</v>
      </c>
      <c r="Y9" s="47"/>
    </row>
    <row r="10" spans="1:25" x14ac:dyDescent="0.25">
      <c r="A10" s="108"/>
      <c r="B10" s="110"/>
      <c r="C10" s="114"/>
      <c r="D10" s="114"/>
      <c r="E10" s="111" t="s">
        <v>16</v>
      </c>
      <c r="F10" s="111"/>
      <c r="G10" s="39">
        <v>100</v>
      </c>
      <c r="H10" s="68">
        <v>98.6</v>
      </c>
      <c r="I10" s="41"/>
      <c r="J10" s="46"/>
      <c r="K10" s="43">
        <v>100</v>
      </c>
      <c r="L10" s="39">
        <f t="shared" si="1"/>
        <v>100</v>
      </c>
      <c r="M10" s="68">
        <f t="shared" si="2"/>
        <v>98.6</v>
      </c>
      <c r="N10" s="41">
        <f t="shared" si="3"/>
        <v>0</v>
      </c>
      <c r="O10" s="46">
        <f t="shared" si="4"/>
        <v>0</v>
      </c>
      <c r="P10" s="43">
        <f t="shared" si="5"/>
        <v>100</v>
      </c>
      <c r="U10" s="39">
        <v>100</v>
      </c>
      <c r="V10" s="68">
        <v>98.6</v>
      </c>
      <c r="W10" s="41"/>
      <c r="X10" s="46"/>
      <c r="Y10" s="43">
        <v>100</v>
      </c>
    </row>
    <row r="11" spans="1:25" x14ac:dyDescent="0.25">
      <c r="A11" s="108"/>
      <c r="B11" s="110"/>
      <c r="C11" s="114"/>
      <c r="D11" s="114"/>
      <c r="E11" s="114" t="s">
        <v>13</v>
      </c>
      <c r="F11" s="114"/>
      <c r="G11" s="39">
        <v>100</v>
      </c>
      <c r="H11" s="68">
        <v>98.3</v>
      </c>
      <c r="I11" s="41"/>
      <c r="J11" s="46"/>
      <c r="K11" s="43">
        <v>100</v>
      </c>
      <c r="L11" s="39">
        <f t="shared" si="1"/>
        <v>100</v>
      </c>
      <c r="M11" s="68">
        <f t="shared" si="2"/>
        <v>98.3</v>
      </c>
      <c r="N11" s="41">
        <f t="shared" si="3"/>
        <v>0</v>
      </c>
      <c r="O11" s="46">
        <f t="shared" si="4"/>
        <v>0</v>
      </c>
      <c r="P11" s="43">
        <f t="shared" si="5"/>
        <v>100</v>
      </c>
      <c r="U11" s="39">
        <v>100</v>
      </c>
      <c r="V11" s="68">
        <v>98.3</v>
      </c>
      <c r="W11" s="41"/>
      <c r="X11" s="46"/>
      <c r="Y11" s="43">
        <v>100</v>
      </c>
    </row>
    <row r="12" spans="1:25" x14ac:dyDescent="0.25">
      <c r="A12" s="108"/>
      <c r="B12" s="110"/>
      <c r="C12" s="114"/>
      <c r="D12" s="114"/>
      <c r="E12" s="114" t="s">
        <v>17</v>
      </c>
      <c r="F12" s="114"/>
      <c r="G12" s="39">
        <v>100</v>
      </c>
      <c r="H12" s="40"/>
      <c r="I12" s="41"/>
      <c r="J12" s="46"/>
      <c r="K12" s="43">
        <v>100</v>
      </c>
      <c r="L12" s="39">
        <f t="shared" si="1"/>
        <v>100</v>
      </c>
      <c r="M12" s="40">
        <f t="shared" si="2"/>
        <v>0</v>
      </c>
      <c r="N12" s="41">
        <f t="shared" si="3"/>
        <v>0</v>
      </c>
      <c r="O12" s="46">
        <f t="shared" si="4"/>
        <v>0</v>
      </c>
      <c r="P12" s="43">
        <f t="shared" si="5"/>
        <v>100</v>
      </c>
      <c r="U12" s="39">
        <v>100</v>
      </c>
      <c r="V12" s="40"/>
      <c r="W12" s="41"/>
      <c r="X12" s="46"/>
      <c r="Y12" s="43">
        <v>100</v>
      </c>
    </row>
    <row r="13" spans="1:25" ht="20.399999999999999" x14ac:dyDescent="0.25">
      <c r="A13" s="108" t="s">
        <v>117</v>
      </c>
      <c r="B13" s="48">
        <v>4</v>
      </c>
      <c r="C13" s="49" t="s">
        <v>34</v>
      </c>
      <c r="D13" s="114" t="s">
        <v>35</v>
      </c>
      <c r="E13" s="49" t="s">
        <v>22</v>
      </c>
      <c r="F13" s="50" t="s">
        <v>23</v>
      </c>
      <c r="G13" s="44"/>
      <c r="H13" s="40"/>
      <c r="I13" s="41"/>
      <c r="J13" s="46"/>
      <c r="K13" s="47"/>
      <c r="L13" s="39">
        <f t="shared" si="1"/>
        <v>0</v>
      </c>
      <c r="M13" s="40">
        <f t="shared" si="2"/>
        <v>0</v>
      </c>
      <c r="N13" s="41">
        <f t="shared" si="3"/>
        <v>0</v>
      </c>
      <c r="O13" s="46">
        <f t="shared" si="4"/>
        <v>0</v>
      </c>
      <c r="P13" s="47">
        <f t="shared" si="5"/>
        <v>0</v>
      </c>
      <c r="U13" s="44"/>
      <c r="V13" s="40"/>
      <c r="W13" s="41"/>
      <c r="X13" s="46"/>
      <c r="Y13" s="47"/>
    </row>
    <row r="14" spans="1:25" ht="20.399999999999999" x14ac:dyDescent="0.25">
      <c r="A14" s="108"/>
      <c r="B14" s="116"/>
      <c r="C14" s="117" t="s">
        <v>36</v>
      </c>
      <c r="D14" s="114"/>
      <c r="E14" s="114" t="s">
        <v>12</v>
      </c>
      <c r="F14" s="50" t="s">
        <v>23</v>
      </c>
      <c r="G14" s="39">
        <v>109.04</v>
      </c>
      <c r="H14" s="51">
        <v>90</v>
      </c>
      <c r="I14" s="41"/>
      <c r="J14" s="46"/>
      <c r="K14" s="43">
        <v>192.12</v>
      </c>
      <c r="L14" s="39">
        <f t="shared" si="1"/>
        <v>109.04</v>
      </c>
      <c r="M14" s="51">
        <f t="shared" si="2"/>
        <v>90</v>
      </c>
      <c r="N14" s="41">
        <f t="shared" si="3"/>
        <v>0</v>
      </c>
      <c r="O14" s="46">
        <f t="shared" si="4"/>
        <v>0</v>
      </c>
      <c r="P14" s="43">
        <f t="shared" si="5"/>
        <v>192.12</v>
      </c>
      <c r="U14" s="39">
        <v>109.04</v>
      </c>
      <c r="V14" s="51" t="s">
        <v>37</v>
      </c>
      <c r="W14" s="41"/>
      <c r="X14" s="46"/>
      <c r="Y14" s="43">
        <v>192.12</v>
      </c>
    </row>
    <row r="15" spans="1:25" ht="20.399999999999999" x14ac:dyDescent="0.25">
      <c r="A15" s="108"/>
      <c r="B15" s="116"/>
      <c r="C15" s="117"/>
      <c r="D15" s="114"/>
      <c r="E15" s="114"/>
      <c r="F15" s="116"/>
      <c r="G15" s="44"/>
      <c r="H15" s="51">
        <v>90</v>
      </c>
      <c r="I15" s="41"/>
      <c r="J15" s="46"/>
      <c r="K15" s="47"/>
      <c r="L15" s="39">
        <f t="shared" si="1"/>
        <v>0</v>
      </c>
      <c r="M15" s="51">
        <f t="shared" si="2"/>
        <v>90</v>
      </c>
      <c r="N15" s="41">
        <f t="shared" si="3"/>
        <v>0</v>
      </c>
      <c r="O15" s="46">
        <f t="shared" si="4"/>
        <v>0</v>
      </c>
      <c r="P15" s="47">
        <f t="shared" si="5"/>
        <v>0</v>
      </c>
      <c r="U15" s="44"/>
      <c r="V15" s="51" t="s">
        <v>37</v>
      </c>
      <c r="W15" s="41"/>
      <c r="X15" s="46"/>
      <c r="Y15" s="47"/>
    </row>
    <row r="16" spans="1:25" ht="20.399999999999999" x14ac:dyDescent="0.25">
      <c r="A16" s="108"/>
      <c r="B16" s="116"/>
      <c r="C16" s="117"/>
      <c r="D16" s="114"/>
      <c r="E16" s="114"/>
      <c r="F16" s="116"/>
      <c r="G16" s="44"/>
      <c r="H16" s="51">
        <v>90</v>
      </c>
      <c r="I16" s="41"/>
      <c r="J16" s="46"/>
      <c r="K16" s="47"/>
      <c r="L16" s="39">
        <f t="shared" si="1"/>
        <v>0</v>
      </c>
      <c r="M16" s="51">
        <f t="shared" si="2"/>
        <v>90</v>
      </c>
      <c r="N16" s="41">
        <f t="shared" si="3"/>
        <v>0</v>
      </c>
      <c r="O16" s="46">
        <f t="shared" si="4"/>
        <v>0</v>
      </c>
      <c r="P16" s="47">
        <f t="shared" si="5"/>
        <v>0</v>
      </c>
      <c r="U16" s="44"/>
      <c r="V16" s="51" t="s">
        <v>37</v>
      </c>
      <c r="W16" s="41"/>
      <c r="X16" s="46"/>
      <c r="Y16" s="47"/>
    </row>
    <row r="17" spans="1:25" ht="20.399999999999999" x14ac:dyDescent="0.25">
      <c r="A17" s="108"/>
      <c r="B17" s="116"/>
      <c r="C17" s="117"/>
      <c r="D17" s="114"/>
      <c r="E17" s="114"/>
      <c r="F17" s="116"/>
      <c r="G17" s="44"/>
      <c r="H17" s="51">
        <v>90</v>
      </c>
      <c r="I17" s="41"/>
      <c r="J17" s="46"/>
      <c r="K17" s="47"/>
      <c r="L17" s="39">
        <f t="shared" si="1"/>
        <v>0</v>
      </c>
      <c r="M17" s="51">
        <f t="shared" si="2"/>
        <v>90</v>
      </c>
      <c r="N17" s="41">
        <f t="shared" si="3"/>
        <v>0</v>
      </c>
      <c r="O17" s="46">
        <f t="shared" si="4"/>
        <v>0</v>
      </c>
      <c r="P17" s="47">
        <f t="shared" si="5"/>
        <v>0</v>
      </c>
      <c r="U17" s="44"/>
      <c r="V17" s="51" t="s">
        <v>37</v>
      </c>
      <c r="W17" s="41"/>
      <c r="X17" s="46"/>
      <c r="Y17" s="47"/>
    </row>
    <row r="18" spans="1:25" ht="20.399999999999999" x14ac:dyDescent="0.25">
      <c r="A18" s="108"/>
      <c r="B18" s="116"/>
      <c r="C18" s="117"/>
      <c r="D18" s="114"/>
      <c r="E18" s="114"/>
      <c r="F18" s="116"/>
      <c r="G18" s="44"/>
      <c r="H18" s="51">
        <v>90</v>
      </c>
      <c r="I18" s="41"/>
      <c r="J18" s="46"/>
      <c r="K18" s="47"/>
      <c r="L18" s="39">
        <f t="shared" si="1"/>
        <v>0</v>
      </c>
      <c r="M18" s="51">
        <f t="shared" si="2"/>
        <v>90</v>
      </c>
      <c r="N18" s="41">
        <f t="shared" si="3"/>
        <v>0</v>
      </c>
      <c r="O18" s="46">
        <f t="shared" si="4"/>
        <v>0</v>
      </c>
      <c r="P18" s="47">
        <f t="shared" si="5"/>
        <v>0</v>
      </c>
      <c r="U18" s="44"/>
      <c r="V18" s="51" t="s">
        <v>37</v>
      </c>
      <c r="W18" s="41"/>
      <c r="X18" s="46"/>
      <c r="Y18" s="47"/>
    </row>
    <row r="19" spans="1:25" ht="20.399999999999999" x14ac:dyDescent="0.25">
      <c r="A19" s="108"/>
      <c r="B19" s="116"/>
      <c r="C19" s="117"/>
      <c r="D19" s="114"/>
      <c r="E19" s="114"/>
      <c r="F19" s="116"/>
      <c r="G19" s="44"/>
      <c r="H19" s="51">
        <v>90</v>
      </c>
      <c r="I19" s="41"/>
      <c r="J19" s="46"/>
      <c r="K19" s="47"/>
      <c r="L19" s="39">
        <f t="shared" si="1"/>
        <v>0</v>
      </c>
      <c r="M19" s="51">
        <f t="shared" si="2"/>
        <v>90</v>
      </c>
      <c r="N19" s="41">
        <f t="shared" si="3"/>
        <v>0</v>
      </c>
      <c r="O19" s="46">
        <f t="shared" si="4"/>
        <v>0</v>
      </c>
      <c r="P19" s="47">
        <f t="shared" si="5"/>
        <v>0</v>
      </c>
      <c r="U19" s="44"/>
      <c r="V19" s="51" t="s">
        <v>37</v>
      </c>
      <c r="W19" s="41"/>
      <c r="X19" s="46"/>
      <c r="Y19" s="47"/>
    </row>
    <row r="20" spans="1:25" ht="20.399999999999999" x14ac:dyDescent="0.25">
      <c r="A20" s="108"/>
      <c r="B20" s="116"/>
      <c r="C20" s="117"/>
      <c r="D20" s="114"/>
      <c r="E20" s="114"/>
      <c r="F20" s="116"/>
      <c r="G20" s="44"/>
      <c r="H20" s="51">
        <v>90</v>
      </c>
      <c r="I20" s="41"/>
      <c r="J20" s="46"/>
      <c r="K20" s="47"/>
      <c r="L20" s="39">
        <f t="shared" si="1"/>
        <v>0</v>
      </c>
      <c r="M20" s="51">
        <f t="shared" si="2"/>
        <v>90</v>
      </c>
      <c r="N20" s="41">
        <f t="shared" si="3"/>
        <v>0</v>
      </c>
      <c r="O20" s="46">
        <f t="shared" si="4"/>
        <v>0</v>
      </c>
      <c r="P20" s="47">
        <f t="shared" si="5"/>
        <v>0</v>
      </c>
      <c r="U20" s="44"/>
      <c r="V20" s="51" t="s">
        <v>37</v>
      </c>
      <c r="W20" s="41"/>
      <c r="X20" s="46"/>
      <c r="Y20" s="47"/>
    </row>
    <row r="21" spans="1:25" ht="20.399999999999999" x14ac:dyDescent="0.25">
      <c r="A21" s="108"/>
      <c r="B21" s="116"/>
      <c r="C21" s="117"/>
      <c r="D21" s="114"/>
      <c r="E21" s="114"/>
      <c r="F21" s="116"/>
      <c r="G21" s="44"/>
      <c r="H21" s="51">
        <v>90</v>
      </c>
      <c r="I21" s="41"/>
      <c r="J21" s="46"/>
      <c r="K21" s="47"/>
      <c r="L21" s="39">
        <f t="shared" si="1"/>
        <v>0</v>
      </c>
      <c r="M21" s="51">
        <f t="shared" si="2"/>
        <v>90</v>
      </c>
      <c r="N21" s="41">
        <f t="shared" si="3"/>
        <v>0</v>
      </c>
      <c r="O21" s="46">
        <f t="shared" si="4"/>
        <v>0</v>
      </c>
      <c r="P21" s="47">
        <f t="shared" si="5"/>
        <v>0</v>
      </c>
      <c r="U21" s="44"/>
      <c r="V21" s="51" t="s">
        <v>37</v>
      </c>
      <c r="W21" s="41"/>
      <c r="X21" s="46"/>
      <c r="Y21" s="47"/>
    </row>
    <row r="22" spans="1:25" ht="20.399999999999999" x14ac:dyDescent="0.25">
      <c r="A22" s="108"/>
      <c r="B22" s="116"/>
      <c r="C22" s="117"/>
      <c r="D22" s="114"/>
      <c r="E22" s="114"/>
      <c r="F22" s="116"/>
      <c r="G22" s="44"/>
      <c r="H22" s="51">
        <v>90</v>
      </c>
      <c r="I22" s="41"/>
      <c r="J22" s="46"/>
      <c r="K22" s="47"/>
      <c r="L22" s="39">
        <f t="shared" si="1"/>
        <v>0</v>
      </c>
      <c r="M22" s="51">
        <f t="shared" si="2"/>
        <v>90</v>
      </c>
      <c r="N22" s="41">
        <f t="shared" si="3"/>
        <v>0</v>
      </c>
      <c r="O22" s="46">
        <f t="shared" si="4"/>
        <v>0</v>
      </c>
      <c r="P22" s="47">
        <f t="shared" si="5"/>
        <v>0</v>
      </c>
      <c r="U22" s="44"/>
      <c r="V22" s="51" t="s">
        <v>37</v>
      </c>
      <c r="W22" s="41"/>
      <c r="X22" s="46"/>
      <c r="Y22" s="47"/>
    </row>
    <row r="23" spans="1:25" ht="20.399999999999999" x14ac:dyDescent="0.25">
      <c r="A23" s="108"/>
      <c r="B23" s="116"/>
      <c r="C23" s="117"/>
      <c r="D23" s="114"/>
      <c r="E23" s="114"/>
      <c r="F23" s="116"/>
      <c r="G23" s="44"/>
      <c r="H23" s="51">
        <v>90</v>
      </c>
      <c r="I23" s="41"/>
      <c r="J23" s="46"/>
      <c r="K23" s="47"/>
      <c r="L23" s="39">
        <f t="shared" si="1"/>
        <v>0</v>
      </c>
      <c r="M23" s="51">
        <f t="shared" si="2"/>
        <v>90</v>
      </c>
      <c r="N23" s="41">
        <f t="shared" si="3"/>
        <v>0</v>
      </c>
      <c r="O23" s="46">
        <f t="shared" si="4"/>
        <v>0</v>
      </c>
      <c r="P23" s="47">
        <f t="shared" si="5"/>
        <v>0</v>
      </c>
      <c r="U23" s="44"/>
      <c r="V23" s="51" t="s">
        <v>37</v>
      </c>
      <c r="W23" s="41"/>
      <c r="X23" s="46"/>
      <c r="Y23" s="47"/>
    </row>
    <row r="24" spans="1:25" ht="20.399999999999999" x14ac:dyDescent="0.25">
      <c r="A24" s="108"/>
      <c r="B24" s="116"/>
      <c r="C24" s="117"/>
      <c r="D24" s="114"/>
      <c r="E24" s="114"/>
      <c r="F24" s="116"/>
      <c r="G24" s="44"/>
      <c r="H24" s="51">
        <v>90</v>
      </c>
      <c r="I24" s="41"/>
      <c r="J24" s="46"/>
      <c r="K24" s="47"/>
      <c r="L24" s="39">
        <f t="shared" si="1"/>
        <v>0</v>
      </c>
      <c r="M24" s="51">
        <f t="shared" si="2"/>
        <v>90</v>
      </c>
      <c r="N24" s="41">
        <f t="shared" si="3"/>
        <v>0</v>
      </c>
      <c r="O24" s="46">
        <f t="shared" si="4"/>
        <v>0</v>
      </c>
      <c r="P24" s="47">
        <f t="shared" si="5"/>
        <v>0</v>
      </c>
      <c r="U24" s="44"/>
      <c r="V24" s="51" t="s">
        <v>37</v>
      </c>
      <c r="W24" s="41"/>
      <c r="X24" s="46"/>
      <c r="Y24" s="47"/>
    </row>
    <row r="25" spans="1:25" ht="20.399999999999999" x14ac:dyDescent="0.25">
      <c r="A25" s="108"/>
      <c r="B25" s="116"/>
      <c r="C25" s="117"/>
      <c r="D25" s="114"/>
      <c r="E25" s="114"/>
      <c r="F25" s="116"/>
      <c r="G25" s="44"/>
      <c r="H25" s="51">
        <v>90</v>
      </c>
      <c r="I25" s="41"/>
      <c r="J25" s="46"/>
      <c r="K25" s="47"/>
      <c r="L25" s="39">
        <f t="shared" si="1"/>
        <v>0</v>
      </c>
      <c r="M25" s="51">
        <f t="shared" si="2"/>
        <v>90</v>
      </c>
      <c r="N25" s="41">
        <f t="shared" si="3"/>
        <v>0</v>
      </c>
      <c r="O25" s="46">
        <f t="shared" si="4"/>
        <v>0</v>
      </c>
      <c r="P25" s="47">
        <f t="shared" si="5"/>
        <v>0</v>
      </c>
      <c r="U25" s="44"/>
      <c r="V25" s="51" t="s">
        <v>37</v>
      </c>
      <c r="W25" s="41"/>
      <c r="X25" s="46"/>
      <c r="Y25" s="47"/>
    </row>
    <row r="26" spans="1:25" ht="20.399999999999999" x14ac:dyDescent="0.25">
      <c r="A26" s="108"/>
      <c r="B26" s="116"/>
      <c r="C26" s="117"/>
      <c r="D26" s="114"/>
      <c r="E26" s="114"/>
      <c r="F26" s="116"/>
      <c r="G26" s="44"/>
      <c r="H26" s="51">
        <v>90</v>
      </c>
      <c r="I26" s="41"/>
      <c r="J26" s="46"/>
      <c r="K26" s="47"/>
      <c r="L26" s="39">
        <f t="shared" si="1"/>
        <v>0</v>
      </c>
      <c r="M26" s="51">
        <f t="shared" si="2"/>
        <v>90</v>
      </c>
      <c r="N26" s="41">
        <f t="shared" si="3"/>
        <v>0</v>
      </c>
      <c r="O26" s="46">
        <f t="shared" si="4"/>
        <v>0</v>
      </c>
      <c r="P26" s="47">
        <f t="shared" si="5"/>
        <v>0</v>
      </c>
      <c r="U26" s="44"/>
      <c r="V26" s="51" t="s">
        <v>38</v>
      </c>
      <c r="W26" s="41"/>
      <c r="X26" s="46"/>
      <c r="Y26" s="47"/>
    </row>
    <row r="27" spans="1:25" ht="20.399999999999999" x14ac:dyDescent="0.25">
      <c r="A27" s="108"/>
      <c r="B27" s="116"/>
      <c r="C27" s="117"/>
      <c r="D27" s="114"/>
      <c r="E27" s="114"/>
      <c r="F27" s="116"/>
      <c r="G27" s="44"/>
      <c r="H27" s="51">
        <v>90</v>
      </c>
      <c r="I27" s="41"/>
      <c r="J27" s="46"/>
      <c r="K27" s="47"/>
      <c r="L27" s="39">
        <f t="shared" si="1"/>
        <v>0</v>
      </c>
      <c r="M27" s="51">
        <f t="shared" si="2"/>
        <v>90</v>
      </c>
      <c r="N27" s="41">
        <f t="shared" si="3"/>
        <v>0</v>
      </c>
      <c r="O27" s="46">
        <f t="shared" si="4"/>
        <v>0</v>
      </c>
      <c r="P27" s="47">
        <f t="shared" si="5"/>
        <v>0</v>
      </c>
      <c r="U27" s="44"/>
      <c r="V27" s="51" t="s">
        <v>38</v>
      </c>
      <c r="W27" s="41"/>
      <c r="X27" s="46"/>
      <c r="Y27" s="47"/>
    </row>
    <row r="28" spans="1:25" ht="20.399999999999999" x14ac:dyDescent="0.25">
      <c r="A28" s="108"/>
      <c r="B28" s="116"/>
      <c r="C28" s="117"/>
      <c r="D28" s="114"/>
      <c r="E28" s="114"/>
      <c r="F28" s="116"/>
      <c r="G28" s="44"/>
      <c r="H28" s="51">
        <v>90</v>
      </c>
      <c r="I28" s="41"/>
      <c r="J28" s="46"/>
      <c r="K28" s="47"/>
      <c r="L28" s="39">
        <f t="shared" si="1"/>
        <v>0</v>
      </c>
      <c r="M28" s="51">
        <f t="shared" si="2"/>
        <v>90</v>
      </c>
      <c r="N28" s="41">
        <f t="shared" si="3"/>
        <v>0</v>
      </c>
      <c r="O28" s="46">
        <f t="shared" si="4"/>
        <v>0</v>
      </c>
      <c r="P28" s="47">
        <f t="shared" si="5"/>
        <v>0</v>
      </c>
      <c r="U28" s="44"/>
      <c r="V28" s="51" t="s">
        <v>38</v>
      </c>
      <c r="W28" s="41"/>
      <c r="X28" s="46"/>
      <c r="Y28" s="47"/>
    </row>
    <row r="29" spans="1:25" ht="20.399999999999999" x14ac:dyDescent="0.25">
      <c r="A29" s="108"/>
      <c r="B29" s="116"/>
      <c r="C29" s="117"/>
      <c r="D29" s="114"/>
      <c r="E29" s="114"/>
      <c r="F29" s="116"/>
      <c r="G29" s="44"/>
      <c r="H29" s="51">
        <v>90</v>
      </c>
      <c r="I29" s="41"/>
      <c r="J29" s="46"/>
      <c r="K29" s="47"/>
      <c r="L29" s="39">
        <f t="shared" si="1"/>
        <v>0</v>
      </c>
      <c r="M29" s="51">
        <f t="shared" si="2"/>
        <v>90</v>
      </c>
      <c r="N29" s="41">
        <f t="shared" si="3"/>
        <v>0</v>
      </c>
      <c r="O29" s="46">
        <f t="shared" si="4"/>
        <v>0</v>
      </c>
      <c r="P29" s="47">
        <f t="shared" si="5"/>
        <v>0</v>
      </c>
      <c r="U29" s="44"/>
      <c r="V29" s="51" t="s">
        <v>38</v>
      </c>
      <c r="W29" s="41"/>
      <c r="X29" s="46"/>
      <c r="Y29" s="47"/>
    </row>
    <row r="30" spans="1:25" ht="20.399999999999999" x14ac:dyDescent="0.25">
      <c r="A30" s="108"/>
      <c r="B30" s="116"/>
      <c r="C30" s="117"/>
      <c r="D30" s="114"/>
      <c r="E30" s="114"/>
      <c r="F30" s="116"/>
      <c r="G30" s="44"/>
      <c r="H30" s="51">
        <v>90</v>
      </c>
      <c r="I30" s="41"/>
      <c r="J30" s="46"/>
      <c r="K30" s="47"/>
      <c r="L30" s="39">
        <f t="shared" si="1"/>
        <v>0</v>
      </c>
      <c r="M30" s="51">
        <f t="shared" si="2"/>
        <v>90</v>
      </c>
      <c r="N30" s="41">
        <f t="shared" si="3"/>
        <v>0</v>
      </c>
      <c r="O30" s="46">
        <f t="shared" si="4"/>
        <v>0</v>
      </c>
      <c r="P30" s="47">
        <f t="shared" si="5"/>
        <v>0</v>
      </c>
      <c r="U30" s="44"/>
      <c r="V30" s="51" t="s">
        <v>38</v>
      </c>
      <c r="W30" s="41"/>
      <c r="X30" s="46"/>
      <c r="Y30" s="47"/>
    </row>
    <row r="31" spans="1:25" ht="20.399999999999999" x14ac:dyDescent="0.25">
      <c r="A31" s="108"/>
      <c r="B31" s="116"/>
      <c r="C31" s="117"/>
      <c r="D31" s="114"/>
      <c r="E31" s="114"/>
      <c r="F31" s="116"/>
      <c r="G31" s="44"/>
      <c r="H31" s="51">
        <v>90</v>
      </c>
      <c r="I31" s="41"/>
      <c r="J31" s="46"/>
      <c r="K31" s="47"/>
      <c r="L31" s="39">
        <f t="shared" si="1"/>
        <v>0</v>
      </c>
      <c r="M31" s="51">
        <f t="shared" si="2"/>
        <v>90</v>
      </c>
      <c r="N31" s="41">
        <f t="shared" si="3"/>
        <v>0</v>
      </c>
      <c r="O31" s="46">
        <f t="shared" si="4"/>
        <v>0</v>
      </c>
      <c r="P31" s="47">
        <f t="shared" si="5"/>
        <v>0</v>
      </c>
      <c r="U31" s="44"/>
      <c r="V31" s="51" t="s">
        <v>38</v>
      </c>
      <c r="W31" s="41"/>
      <c r="X31" s="46"/>
      <c r="Y31" s="47"/>
    </row>
    <row r="32" spans="1:25" ht="20.399999999999999" x14ac:dyDescent="0.25">
      <c r="A32" s="108"/>
      <c r="B32" s="116"/>
      <c r="C32" s="117"/>
      <c r="D32" s="114"/>
      <c r="E32" s="114"/>
      <c r="F32" s="116"/>
      <c r="G32" s="44"/>
      <c r="H32" s="51">
        <v>90</v>
      </c>
      <c r="I32" s="41"/>
      <c r="J32" s="46"/>
      <c r="K32" s="47"/>
      <c r="L32" s="39">
        <f t="shared" si="1"/>
        <v>0</v>
      </c>
      <c r="M32" s="51">
        <f t="shared" si="2"/>
        <v>90</v>
      </c>
      <c r="N32" s="41">
        <f t="shared" si="3"/>
        <v>0</v>
      </c>
      <c r="O32" s="46">
        <f t="shared" si="4"/>
        <v>0</v>
      </c>
      <c r="P32" s="47">
        <f t="shared" si="5"/>
        <v>0</v>
      </c>
      <c r="U32" s="44"/>
      <c r="V32" s="51" t="s">
        <v>38</v>
      </c>
      <c r="W32" s="41"/>
      <c r="X32" s="46"/>
      <c r="Y32" s="47"/>
    </row>
    <row r="33" spans="1:25" ht="20.399999999999999" x14ac:dyDescent="0.25">
      <c r="A33" s="108"/>
      <c r="B33" s="116"/>
      <c r="C33" s="117"/>
      <c r="D33" s="114"/>
      <c r="E33" s="114"/>
      <c r="F33" s="116"/>
      <c r="G33" s="44"/>
      <c r="H33" s="51">
        <v>90</v>
      </c>
      <c r="I33" s="41"/>
      <c r="J33" s="46"/>
      <c r="K33" s="47"/>
      <c r="L33" s="39">
        <f t="shared" si="1"/>
        <v>0</v>
      </c>
      <c r="M33" s="51">
        <f t="shared" si="2"/>
        <v>90</v>
      </c>
      <c r="N33" s="41">
        <f t="shared" si="3"/>
        <v>0</v>
      </c>
      <c r="O33" s="46">
        <f t="shared" si="4"/>
        <v>0</v>
      </c>
      <c r="P33" s="47">
        <f t="shared" si="5"/>
        <v>0</v>
      </c>
      <c r="U33" s="44"/>
      <c r="V33" s="51" t="s">
        <v>38</v>
      </c>
      <c r="W33" s="41"/>
      <c r="X33" s="46"/>
      <c r="Y33" s="47"/>
    </row>
    <row r="34" spans="1:25" ht="20.399999999999999" x14ac:dyDescent="0.25">
      <c r="A34" s="108"/>
      <c r="B34" s="116"/>
      <c r="C34" s="117"/>
      <c r="D34" s="114"/>
      <c r="E34" s="114"/>
      <c r="F34" s="116"/>
      <c r="G34" s="44"/>
      <c r="H34" s="51">
        <v>90</v>
      </c>
      <c r="I34" s="41"/>
      <c r="J34" s="46"/>
      <c r="K34" s="47"/>
      <c r="L34" s="39">
        <f t="shared" si="1"/>
        <v>0</v>
      </c>
      <c r="M34" s="51">
        <f t="shared" si="2"/>
        <v>90</v>
      </c>
      <c r="N34" s="41">
        <f t="shared" si="3"/>
        <v>0</v>
      </c>
      <c r="O34" s="46">
        <f t="shared" si="4"/>
        <v>0</v>
      </c>
      <c r="P34" s="47">
        <f t="shared" si="5"/>
        <v>0</v>
      </c>
      <c r="U34" s="44"/>
      <c r="V34" s="51" t="s">
        <v>38</v>
      </c>
      <c r="W34" s="41"/>
      <c r="X34" s="46"/>
      <c r="Y34" s="47"/>
    </row>
    <row r="35" spans="1:25" ht="20.399999999999999" x14ac:dyDescent="0.25">
      <c r="A35" s="108"/>
      <c r="B35" s="116"/>
      <c r="C35" s="117"/>
      <c r="D35" s="114"/>
      <c r="E35" s="114"/>
      <c r="F35" s="116"/>
      <c r="G35" s="44"/>
      <c r="H35" s="51">
        <v>90</v>
      </c>
      <c r="I35" s="41"/>
      <c r="J35" s="46"/>
      <c r="K35" s="47"/>
      <c r="L35" s="39">
        <f t="shared" si="1"/>
        <v>0</v>
      </c>
      <c r="M35" s="51">
        <f t="shared" si="2"/>
        <v>90</v>
      </c>
      <c r="N35" s="41">
        <f t="shared" si="3"/>
        <v>0</v>
      </c>
      <c r="O35" s="46">
        <f t="shared" si="4"/>
        <v>0</v>
      </c>
      <c r="P35" s="47">
        <f t="shared" si="5"/>
        <v>0</v>
      </c>
      <c r="U35" s="44"/>
      <c r="V35" s="51" t="s">
        <v>38</v>
      </c>
      <c r="W35" s="41"/>
      <c r="X35" s="46"/>
      <c r="Y35" s="47"/>
    </row>
    <row r="36" spans="1:25" ht="20.399999999999999" x14ac:dyDescent="0.25">
      <c r="A36" s="108"/>
      <c r="B36" s="116"/>
      <c r="C36" s="117"/>
      <c r="D36" s="114"/>
      <c r="E36" s="114"/>
      <c r="F36" s="116"/>
      <c r="G36" s="44"/>
      <c r="H36" s="51">
        <v>90</v>
      </c>
      <c r="I36" s="41"/>
      <c r="J36" s="46"/>
      <c r="K36" s="47"/>
      <c r="L36" s="39">
        <f t="shared" si="1"/>
        <v>0</v>
      </c>
      <c r="M36" s="51">
        <f t="shared" si="2"/>
        <v>90</v>
      </c>
      <c r="N36" s="41">
        <f t="shared" si="3"/>
        <v>0</v>
      </c>
      <c r="O36" s="46">
        <f t="shared" si="4"/>
        <v>0</v>
      </c>
      <c r="P36" s="47">
        <f t="shared" si="5"/>
        <v>0</v>
      </c>
      <c r="U36" s="44"/>
      <c r="V36" s="51" t="s">
        <v>38</v>
      </c>
      <c r="W36" s="41"/>
      <c r="X36" s="46"/>
      <c r="Y36" s="47"/>
    </row>
    <row r="37" spans="1:25" ht="20.399999999999999" x14ac:dyDescent="0.25">
      <c r="A37" s="108"/>
      <c r="B37" s="116"/>
      <c r="C37" s="117"/>
      <c r="D37" s="114"/>
      <c r="E37" s="114" t="s">
        <v>13</v>
      </c>
      <c r="F37" s="50" t="s">
        <v>23</v>
      </c>
      <c r="G37" s="39">
        <v>2385.5700000000002</v>
      </c>
      <c r="H37" s="51">
        <v>1250</v>
      </c>
      <c r="I37" s="41"/>
      <c r="J37" s="46"/>
      <c r="K37" s="43">
        <v>4575.68</v>
      </c>
      <c r="L37" s="39">
        <f t="shared" si="1"/>
        <v>2385.5700000000002</v>
      </c>
      <c r="M37" s="51">
        <f t="shared" si="2"/>
        <v>1250</v>
      </c>
      <c r="N37" s="41">
        <f t="shared" si="3"/>
        <v>0</v>
      </c>
      <c r="O37" s="46">
        <f t="shared" si="4"/>
        <v>0</v>
      </c>
      <c r="P37" s="43">
        <f t="shared" si="5"/>
        <v>4575.68</v>
      </c>
      <c r="U37" s="39">
        <v>2385.5700000000002</v>
      </c>
      <c r="V37" s="51" t="s">
        <v>39</v>
      </c>
      <c r="W37" s="41"/>
      <c r="X37" s="46"/>
      <c r="Y37" s="43">
        <v>4575.68</v>
      </c>
    </row>
    <row r="38" spans="1:25" ht="20.399999999999999" x14ac:dyDescent="0.25">
      <c r="A38" s="108"/>
      <c r="B38" s="116"/>
      <c r="C38" s="117"/>
      <c r="D38" s="114"/>
      <c r="E38" s="114"/>
      <c r="F38" s="116"/>
      <c r="G38" s="44"/>
      <c r="H38" s="51">
        <v>1250</v>
      </c>
      <c r="I38" s="41"/>
      <c r="J38" s="46"/>
      <c r="K38" s="47"/>
      <c r="L38" s="39">
        <f t="shared" si="1"/>
        <v>0</v>
      </c>
      <c r="M38" s="51">
        <f t="shared" si="2"/>
        <v>1250</v>
      </c>
      <c r="N38" s="41">
        <f t="shared" si="3"/>
        <v>0</v>
      </c>
      <c r="O38" s="46">
        <f t="shared" si="4"/>
        <v>0</v>
      </c>
      <c r="P38" s="47">
        <f t="shared" si="5"/>
        <v>0</v>
      </c>
      <c r="U38" s="44"/>
      <c r="V38" s="51" t="s">
        <v>39</v>
      </c>
      <c r="W38" s="41"/>
      <c r="X38" s="46"/>
      <c r="Y38" s="47"/>
    </row>
    <row r="39" spans="1:25" ht="20.399999999999999" x14ac:dyDescent="0.25">
      <c r="A39" s="108"/>
      <c r="B39" s="116"/>
      <c r="C39" s="117"/>
      <c r="D39" s="114"/>
      <c r="E39" s="114"/>
      <c r="F39" s="116"/>
      <c r="G39" s="44"/>
      <c r="H39" s="51">
        <v>1250</v>
      </c>
      <c r="I39" s="41"/>
      <c r="J39" s="46"/>
      <c r="K39" s="47"/>
      <c r="L39" s="39">
        <f t="shared" si="1"/>
        <v>0</v>
      </c>
      <c r="M39" s="51">
        <f t="shared" si="2"/>
        <v>1250</v>
      </c>
      <c r="N39" s="41">
        <f t="shared" si="3"/>
        <v>0</v>
      </c>
      <c r="O39" s="46">
        <f t="shared" si="4"/>
        <v>0</v>
      </c>
      <c r="P39" s="47">
        <f t="shared" si="5"/>
        <v>0</v>
      </c>
      <c r="U39" s="44"/>
      <c r="V39" s="51" t="s">
        <v>39</v>
      </c>
      <c r="W39" s="41"/>
      <c r="X39" s="46"/>
      <c r="Y39" s="47"/>
    </row>
    <row r="40" spans="1:25" ht="20.399999999999999" x14ac:dyDescent="0.25">
      <c r="A40" s="108"/>
      <c r="B40" s="116"/>
      <c r="C40" s="117"/>
      <c r="D40" s="114"/>
      <c r="E40" s="114"/>
      <c r="F40" s="116"/>
      <c r="G40" s="44"/>
      <c r="H40" s="51">
        <v>1250</v>
      </c>
      <c r="I40" s="41"/>
      <c r="J40" s="46"/>
      <c r="K40" s="47"/>
      <c r="L40" s="39">
        <f t="shared" si="1"/>
        <v>0</v>
      </c>
      <c r="M40" s="51">
        <f t="shared" si="2"/>
        <v>1250</v>
      </c>
      <c r="N40" s="41">
        <f t="shared" si="3"/>
        <v>0</v>
      </c>
      <c r="O40" s="46">
        <f t="shared" si="4"/>
        <v>0</v>
      </c>
      <c r="P40" s="47">
        <f t="shared" si="5"/>
        <v>0</v>
      </c>
      <c r="U40" s="44"/>
      <c r="V40" s="51" t="s">
        <v>39</v>
      </c>
      <c r="W40" s="41"/>
      <c r="X40" s="46"/>
      <c r="Y40" s="47"/>
    </row>
    <row r="41" spans="1:25" ht="20.399999999999999" x14ac:dyDescent="0.25">
      <c r="A41" s="108"/>
      <c r="B41" s="116"/>
      <c r="C41" s="117"/>
      <c r="D41" s="114"/>
      <c r="E41" s="114"/>
      <c r="F41" s="116"/>
      <c r="G41" s="44"/>
      <c r="H41" s="51">
        <v>1250</v>
      </c>
      <c r="I41" s="41"/>
      <c r="J41" s="46"/>
      <c r="K41" s="47"/>
      <c r="L41" s="39">
        <f t="shared" si="1"/>
        <v>0</v>
      </c>
      <c r="M41" s="51">
        <f t="shared" si="2"/>
        <v>1250</v>
      </c>
      <c r="N41" s="41">
        <f t="shared" si="3"/>
        <v>0</v>
      </c>
      <c r="O41" s="46">
        <f t="shared" si="4"/>
        <v>0</v>
      </c>
      <c r="P41" s="47">
        <f t="shared" si="5"/>
        <v>0</v>
      </c>
      <c r="U41" s="44"/>
      <c r="V41" s="51" t="s">
        <v>39</v>
      </c>
      <c r="W41" s="41"/>
      <c r="X41" s="46"/>
      <c r="Y41" s="47"/>
    </row>
    <row r="42" spans="1:25" ht="20.399999999999999" x14ac:dyDescent="0.25">
      <c r="A42" s="108"/>
      <c r="B42" s="116"/>
      <c r="C42" s="117"/>
      <c r="D42" s="114"/>
      <c r="E42" s="114"/>
      <c r="F42" s="116"/>
      <c r="G42" s="44"/>
      <c r="H42" s="51">
        <v>1250</v>
      </c>
      <c r="I42" s="41"/>
      <c r="J42" s="46"/>
      <c r="K42" s="47"/>
      <c r="L42" s="39">
        <f t="shared" si="1"/>
        <v>0</v>
      </c>
      <c r="M42" s="51">
        <f t="shared" si="2"/>
        <v>1250</v>
      </c>
      <c r="N42" s="41">
        <f t="shared" si="3"/>
        <v>0</v>
      </c>
      <c r="O42" s="46">
        <f t="shared" si="4"/>
        <v>0</v>
      </c>
      <c r="P42" s="47">
        <f t="shared" si="5"/>
        <v>0</v>
      </c>
      <c r="U42" s="44"/>
      <c r="V42" s="51" t="s">
        <v>39</v>
      </c>
      <c r="W42" s="41"/>
      <c r="X42" s="46"/>
      <c r="Y42" s="47"/>
    </row>
    <row r="43" spans="1:25" ht="20.399999999999999" x14ac:dyDescent="0.25">
      <c r="A43" s="108"/>
      <c r="B43" s="116"/>
      <c r="C43" s="117"/>
      <c r="D43" s="114"/>
      <c r="E43" s="114"/>
      <c r="F43" s="116"/>
      <c r="G43" s="44"/>
      <c r="H43" s="51">
        <v>1250</v>
      </c>
      <c r="I43" s="41"/>
      <c r="J43" s="46"/>
      <c r="K43" s="47"/>
      <c r="L43" s="39">
        <f t="shared" si="1"/>
        <v>0</v>
      </c>
      <c r="M43" s="51">
        <f t="shared" si="2"/>
        <v>1250</v>
      </c>
      <c r="N43" s="41">
        <f t="shared" si="3"/>
        <v>0</v>
      </c>
      <c r="O43" s="46">
        <f t="shared" si="4"/>
        <v>0</v>
      </c>
      <c r="P43" s="47">
        <f t="shared" si="5"/>
        <v>0</v>
      </c>
      <c r="U43" s="44"/>
      <c r="V43" s="51" t="s">
        <v>39</v>
      </c>
      <c r="W43" s="41"/>
      <c r="X43" s="46"/>
      <c r="Y43" s="47"/>
    </row>
    <row r="44" spans="1:25" ht="20.399999999999999" x14ac:dyDescent="0.25">
      <c r="A44" s="108"/>
      <c r="B44" s="116"/>
      <c r="C44" s="117"/>
      <c r="D44" s="114"/>
      <c r="E44" s="114"/>
      <c r="F44" s="116"/>
      <c r="G44" s="44"/>
      <c r="H44" s="51">
        <v>1250</v>
      </c>
      <c r="I44" s="41"/>
      <c r="J44" s="46"/>
      <c r="K44" s="47"/>
      <c r="L44" s="39">
        <f t="shared" si="1"/>
        <v>0</v>
      </c>
      <c r="M44" s="51">
        <f t="shared" si="2"/>
        <v>1250</v>
      </c>
      <c r="N44" s="41">
        <f t="shared" si="3"/>
        <v>0</v>
      </c>
      <c r="O44" s="46">
        <f t="shared" si="4"/>
        <v>0</v>
      </c>
      <c r="P44" s="47">
        <f t="shared" si="5"/>
        <v>0</v>
      </c>
      <c r="U44" s="44"/>
      <c r="V44" s="51" t="s">
        <v>39</v>
      </c>
      <c r="W44" s="41"/>
      <c r="X44" s="46"/>
      <c r="Y44" s="47"/>
    </row>
    <row r="45" spans="1:25" ht="20.399999999999999" x14ac:dyDescent="0.25">
      <c r="A45" s="108"/>
      <c r="B45" s="116"/>
      <c r="C45" s="117"/>
      <c r="D45" s="114"/>
      <c r="E45" s="114"/>
      <c r="F45" s="116"/>
      <c r="G45" s="44"/>
      <c r="H45" s="51">
        <v>1250</v>
      </c>
      <c r="I45" s="41"/>
      <c r="J45" s="46"/>
      <c r="K45" s="47"/>
      <c r="L45" s="39">
        <f t="shared" si="1"/>
        <v>0</v>
      </c>
      <c r="M45" s="51">
        <f t="shared" si="2"/>
        <v>1250</v>
      </c>
      <c r="N45" s="41">
        <f t="shared" si="3"/>
        <v>0</v>
      </c>
      <c r="O45" s="46">
        <f t="shared" si="4"/>
        <v>0</v>
      </c>
      <c r="P45" s="47">
        <f t="shared" si="5"/>
        <v>0</v>
      </c>
      <c r="U45" s="44"/>
      <c r="V45" s="51" t="s">
        <v>39</v>
      </c>
      <c r="W45" s="41"/>
      <c r="X45" s="46"/>
      <c r="Y45" s="47"/>
    </row>
    <row r="46" spans="1:25" ht="20.399999999999999" x14ac:dyDescent="0.25">
      <c r="A46" s="108"/>
      <c r="B46" s="116"/>
      <c r="C46" s="117"/>
      <c r="D46" s="114"/>
      <c r="E46" s="114"/>
      <c r="F46" s="116"/>
      <c r="G46" s="44"/>
      <c r="H46" s="51">
        <v>1250</v>
      </c>
      <c r="I46" s="41"/>
      <c r="J46" s="46"/>
      <c r="K46" s="47"/>
      <c r="L46" s="39">
        <f t="shared" si="1"/>
        <v>0</v>
      </c>
      <c r="M46" s="51">
        <f t="shared" si="2"/>
        <v>1250</v>
      </c>
      <c r="N46" s="41">
        <f t="shared" si="3"/>
        <v>0</v>
      </c>
      <c r="O46" s="46">
        <f t="shared" si="4"/>
        <v>0</v>
      </c>
      <c r="P46" s="47">
        <f t="shared" si="5"/>
        <v>0</v>
      </c>
      <c r="U46" s="44"/>
      <c r="V46" s="51" t="s">
        <v>39</v>
      </c>
      <c r="W46" s="41"/>
      <c r="X46" s="46"/>
      <c r="Y46" s="47"/>
    </row>
    <row r="47" spans="1:25" ht="20.399999999999999" x14ac:dyDescent="0.25">
      <c r="A47" s="108"/>
      <c r="B47" s="116"/>
      <c r="C47" s="117"/>
      <c r="D47" s="114"/>
      <c r="E47" s="114"/>
      <c r="F47" s="116"/>
      <c r="G47" s="44"/>
      <c r="H47" s="51">
        <v>1250</v>
      </c>
      <c r="I47" s="41"/>
      <c r="J47" s="46"/>
      <c r="K47" s="47"/>
      <c r="L47" s="39">
        <f t="shared" si="1"/>
        <v>0</v>
      </c>
      <c r="M47" s="51">
        <f t="shared" si="2"/>
        <v>1250</v>
      </c>
      <c r="N47" s="41">
        <f t="shared" si="3"/>
        <v>0</v>
      </c>
      <c r="O47" s="46">
        <f t="shared" si="4"/>
        <v>0</v>
      </c>
      <c r="P47" s="47">
        <f t="shared" si="5"/>
        <v>0</v>
      </c>
      <c r="U47" s="44"/>
      <c r="V47" s="51" t="s">
        <v>39</v>
      </c>
      <c r="W47" s="41"/>
      <c r="X47" s="46"/>
      <c r="Y47" s="47"/>
    </row>
    <row r="48" spans="1:25" ht="20.399999999999999" x14ac:dyDescent="0.25">
      <c r="A48" s="108"/>
      <c r="B48" s="116"/>
      <c r="C48" s="117"/>
      <c r="D48" s="114"/>
      <c r="E48" s="114"/>
      <c r="F48" s="116"/>
      <c r="G48" s="44"/>
      <c r="H48" s="51">
        <v>1250</v>
      </c>
      <c r="I48" s="41"/>
      <c r="J48" s="46"/>
      <c r="K48" s="47"/>
      <c r="L48" s="39">
        <f t="shared" si="1"/>
        <v>0</v>
      </c>
      <c r="M48" s="51">
        <f t="shared" si="2"/>
        <v>1250</v>
      </c>
      <c r="N48" s="41">
        <f t="shared" si="3"/>
        <v>0</v>
      </c>
      <c r="O48" s="46">
        <f t="shared" si="4"/>
        <v>0</v>
      </c>
      <c r="P48" s="47">
        <f t="shared" si="5"/>
        <v>0</v>
      </c>
      <c r="U48" s="44"/>
      <c r="V48" s="51" t="s">
        <v>39</v>
      </c>
      <c r="W48" s="41"/>
      <c r="X48" s="46"/>
      <c r="Y48" s="47"/>
    </row>
    <row r="49" spans="1:25" ht="20.399999999999999" x14ac:dyDescent="0.25">
      <c r="A49" s="108"/>
      <c r="B49" s="116"/>
      <c r="C49" s="117"/>
      <c r="D49" s="114"/>
      <c r="E49" s="114"/>
      <c r="F49" s="116"/>
      <c r="G49" s="44"/>
      <c r="H49" s="51">
        <v>1250</v>
      </c>
      <c r="I49" s="41"/>
      <c r="J49" s="46"/>
      <c r="K49" s="47"/>
      <c r="L49" s="39">
        <f t="shared" si="1"/>
        <v>0</v>
      </c>
      <c r="M49" s="51">
        <f t="shared" si="2"/>
        <v>1250</v>
      </c>
      <c r="N49" s="41">
        <f t="shared" si="3"/>
        <v>0</v>
      </c>
      <c r="O49" s="46">
        <f t="shared" si="4"/>
        <v>0</v>
      </c>
      <c r="P49" s="47">
        <f t="shared" si="5"/>
        <v>0</v>
      </c>
      <c r="U49" s="44"/>
      <c r="V49" s="51" t="s">
        <v>40</v>
      </c>
      <c r="W49" s="41"/>
      <c r="X49" s="46"/>
      <c r="Y49" s="47"/>
    </row>
    <row r="50" spans="1:25" ht="20.399999999999999" x14ac:dyDescent="0.25">
      <c r="A50" s="108"/>
      <c r="B50" s="116"/>
      <c r="C50" s="117"/>
      <c r="D50" s="114"/>
      <c r="E50" s="114"/>
      <c r="F50" s="116"/>
      <c r="G50" s="44"/>
      <c r="H50" s="51">
        <v>1250</v>
      </c>
      <c r="I50" s="41"/>
      <c r="J50" s="46"/>
      <c r="K50" s="47"/>
      <c r="L50" s="39">
        <f t="shared" si="1"/>
        <v>0</v>
      </c>
      <c r="M50" s="51">
        <f t="shared" si="2"/>
        <v>1250</v>
      </c>
      <c r="N50" s="41">
        <f t="shared" si="3"/>
        <v>0</v>
      </c>
      <c r="O50" s="46">
        <f t="shared" si="4"/>
        <v>0</v>
      </c>
      <c r="P50" s="47">
        <f t="shared" si="5"/>
        <v>0</v>
      </c>
      <c r="U50" s="44"/>
      <c r="V50" s="51" t="s">
        <v>40</v>
      </c>
      <c r="W50" s="41"/>
      <c r="X50" s="46"/>
      <c r="Y50" s="47"/>
    </row>
    <row r="51" spans="1:25" ht="20.399999999999999" x14ac:dyDescent="0.25">
      <c r="A51" s="108"/>
      <c r="B51" s="116"/>
      <c r="C51" s="117"/>
      <c r="D51" s="114"/>
      <c r="E51" s="114"/>
      <c r="F51" s="116"/>
      <c r="G51" s="44"/>
      <c r="H51" s="51">
        <v>1250</v>
      </c>
      <c r="I51" s="41"/>
      <c r="J51" s="46"/>
      <c r="K51" s="47"/>
      <c r="L51" s="39">
        <f t="shared" si="1"/>
        <v>0</v>
      </c>
      <c r="M51" s="51">
        <f t="shared" si="2"/>
        <v>1250</v>
      </c>
      <c r="N51" s="41">
        <f t="shared" si="3"/>
        <v>0</v>
      </c>
      <c r="O51" s="46">
        <f t="shared" si="4"/>
        <v>0</v>
      </c>
      <c r="P51" s="47">
        <f t="shared" si="5"/>
        <v>0</v>
      </c>
      <c r="U51" s="44"/>
      <c r="V51" s="51" t="s">
        <v>40</v>
      </c>
      <c r="W51" s="41"/>
      <c r="X51" s="46"/>
      <c r="Y51" s="47"/>
    </row>
    <row r="52" spans="1:25" ht="20.399999999999999" x14ac:dyDescent="0.25">
      <c r="A52" s="108"/>
      <c r="B52" s="116"/>
      <c r="C52" s="117"/>
      <c r="D52" s="114"/>
      <c r="E52" s="114"/>
      <c r="F52" s="116"/>
      <c r="G52" s="44"/>
      <c r="H52" s="51">
        <v>1250</v>
      </c>
      <c r="I52" s="41"/>
      <c r="J52" s="46"/>
      <c r="K52" s="47"/>
      <c r="L52" s="39">
        <f t="shared" si="1"/>
        <v>0</v>
      </c>
      <c r="M52" s="51">
        <f t="shared" si="2"/>
        <v>1250</v>
      </c>
      <c r="N52" s="41">
        <f t="shared" si="3"/>
        <v>0</v>
      </c>
      <c r="O52" s="46">
        <f t="shared" si="4"/>
        <v>0</v>
      </c>
      <c r="P52" s="47">
        <f t="shared" si="5"/>
        <v>0</v>
      </c>
      <c r="U52" s="44"/>
      <c r="V52" s="51" t="s">
        <v>40</v>
      </c>
      <c r="W52" s="41"/>
      <c r="X52" s="46"/>
      <c r="Y52" s="47"/>
    </row>
    <row r="53" spans="1:25" ht="20.399999999999999" x14ac:dyDescent="0.25">
      <c r="A53" s="108"/>
      <c r="B53" s="116"/>
      <c r="C53" s="117"/>
      <c r="D53" s="114"/>
      <c r="E53" s="114"/>
      <c r="F53" s="116"/>
      <c r="G53" s="44"/>
      <c r="H53" s="51">
        <v>1250</v>
      </c>
      <c r="I53" s="41"/>
      <c r="J53" s="46"/>
      <c r="K53" s="47"/>
      <c r="L53" s="39">
        <f t="shared" si="1"/>
        <v>0</v>
      </c>
      <c r="M53" s="51">
        <f t="shared" si="2"/>
        <v>1250</v>
      </c>
      <c r="N53" s="41">
        <f t="shared" si="3"/>
        <v>0</v>
      </c>
      <c r="O53" s="46">
        <f t="shared" si="4"/>
        <v>0</v>
      </c>
      <c r="P53" s="47">
        <f t="shared" si="5"/>
        <v>0</v>
      </c>
      <c r="U53" s="44"/>
      <c r="V53" s="51" t="s">
        <v>40</v>
      </c>
      <c r="W53" s="41"/>
      <c r="X53" s="46"/>
      <c r="Y53" s="47"/>
    </row>
    <row r="54" spans="1:25" ht="20.399999999999999" x14ac:dyDescent="0.25">
      <c r="A54" s="108"/>
      <c r="B54" s="116"/>
      <c r="C54" s="117"/>
      <c r="D54" s="114"/>
      <c r="E54" s="114"/>
      <c r="F54" s="116"/>
      <c r="G54" s="44"/>
      <c r="H54" s="51">
        <v>1250</v>
      </c>
      <c r="I54" s="41"/>
      <c r="J54" s="46"/>
      <c r="K54" s="47"/>
      <c r="L54" s="39">
        <f t="shared" si="1"/>
        <v>0</v>
      </c>
      <c r="M54" s="51">
        <f t="shared" si="2"/>
        <v>1250</v>
      </c>
      <c r="N54" s="41">
        <f t="shared" si="3"/>
        <v>0</v>
      </c>
      <c r="O54" s="46">
        <f t="shared" si="4"/>
        <v>0</v>
      </c>
      <c r="P54" s="47">
        <f t="shared" si="5"/>
        <v>0</v>
      </c>
      <c r="U54" s="44"/>
      <c r="V54" s="51" t="s">
        <v>40</v>
      </c>
      <c r="W54" s="41"/>
      <c r="X54" s="46"/>
      <c r="Y54" s="47"/>
    </row>
    <row r="55" spans="1:25" ht="20.399999999999999" x14ac:dyDescent="0.25">
      <c r="A55" s="108"/>
      <c r="B55" s="116"/>
      <c r="C55" s="117"/>
      <c r="D55" s="114"/>
      <c r="E55" s="114"/>
      <c r="F55" s="116"/>
      <c r="G55" s="44"/>
      <c r="H55" s="51">
        <v>1250</v>
      </c>
      <c r="I55" s="41"/>
      <c r="J55" s="46"/>
      <c r="K55" s="47"/>
      <c r="L55" s="39">
        <f t="shared" si="1"/>
        <v>0</v>
      </c>
      <c r="M55" s="51">
        <f t="shared" si="2"/>
        <v>1250</v>
      </c>
      <c r="N55" s="41">
        <f t="shared" si="3"/>
        <v>0</v>
      </c>
      <c r="O55" s="46">
        <f t="shared" si="4"/>
        <v>0</v>
      </c>
      <c r="P55" s="47">
        <f t="shared" si="5"/>
        <v>0</v>
      </c>
      <c r="U55" s="44"/>
      <c r="V55" s="51" t="s">
        <v>40</v>
      </c>
      <c r="W55" s="41"/>
      <c r="X55" s="46"/>
      <c r="Y55" s="47"/>
    </row>
    <row r="56" spans="1:25" ht="20.399999999999999" x14ac:dyDescent="0.25">
      <c r="A56" s="108"/>
      <c r="B56" s="116"/>
      <c r="C56" s="117"/>
      <c r="D56" s="114"/>
      <c r="E56" s="114"/>
      <c r="F56" s="116"/>
      <c r="G56" s="44"/>
      <c r="H56" s="51">
        <v>1250</v>
      </c>
      <c r="I56" s="41"/>
      <c r="J56" s="46"/>
      <c r="K56" s="47"/>
      <c r="L56" s="39">
        <f t="shared" si="1"/>
        <v>0</v>
      </c>
      <c r="M56" s="51">
        <f t="shared" si="2"/>
        <v>1250</v>
      </c>
      <c r="N56" s="41">
        <f t="shared" si="3"/>
        <v>0</v>
      </c>
      <c r="O56" s="46">
        <f t="shared" si="4"/>
        <v>0</v>
      </c>
      <c r="P56" s="47">
        <f t="shared" si="5"/>
        <v>0</v>
      </c>
      <c r="U56" s="44"/>
      <c r="V56" s="51" t="s">
        <v>40</v>
      </c>
      <c r="W56" s="41"/>
      <c r="X56" s="46"/>
      <c r="Y56" s="47"/>
    </row>
    <row r="57" spans="1:25" ht="20.399999999999999" x14ac:dyDescent="0.25">
      <c r="A57" s="108"/>
      <c r="B57" s="116"/>
      <c r="C57" s="116"/>
      <c r="D57" s="116"/>
      <c r="E57" s="116"/>
      <c r="F57" s="116"/>
      <c r="G57" s="44"/>
      <c r="H57" s="51">
        <v>1250</v>
      </c>
      <c r="I57" s="41"/>
      <c r="J57" s="46"/>
      <c r="K57" s="47"/>
      <c r="L57" s="39">
        <f t="shared" si="1"/>
        <v>0</v>
      </c>
      <c r="M57" s="51">
        <f t="shared" si="2"/>
        <v>1250</v>
      </c>
      <c r="N57" s="41">
        <f t="shared" si="3"/>
        <v>0</v>
      </c>
      <c r="O57" s="46">
        <f t="shared" si="4"/>
        <v>0</v>
      </c>
      <c r="P57" s="47">
        <f t="shared" si="5"/>
        <v>0</v>
      </c>
      <c r="U57" s="44"/>
      <c r="V57" s="51" t="s">
        <v>40</v>
      </c>
      <c r="W57" s="41"/>
      <c r="X57" s="46"/>
      <c r="Y57" s="47"/>
    </row>
    <row r="58" spans="1:25" ht="20.399999999999999" x14ac:dyDescent="0.25">
      <c r="A58" s="108"/>
      <c r="B58" s="116"/>
      <c r="C58" s="116"/>
      <c r="D58" s="116"/>
      <c r="E58" s="116"/>
      <c r="F58" s="116"/>
      <c r="G58" s="44"/>
      <c r="H58" s="51">
        <v>1250</v>
      </c>
      <c r="I58" s="41"/>
      <c r="J58" s="46"/>
      <c r="K58" s="47"/>
      <c r="L58" s="39">
        <f t="shared" si="1"/>
        <v>0</v>
      </c>
      <c r="M58" s="51">
        <f t="shared" si="2"/>
        <v>1250</v>
      </c>
      <c r="N58" s="41">
        <f t="shared" si="3"/>
        <v>0</v>
      </c>
      <c r="O58" s="46">
        <f t="shared" si="4"/>
        <v>0</v>
      </c>
      <c r="P58" s="47">
        <f t="shared" si="5"/>
        <v>0</v>
      </c>
      <c r="U58" s="44"/>
      <c r="V58" s="51" t="s">
        <v>40</v>
      </c>
      <c r="W58" s="41"/>
      <c r="X58" s="46"/>
      <c r="Y58" s="47"/>
    </row>
    <row r="59" spans="1:25" ht="20.399999999999999" x14ac:dyDescent="0.25">
      <c r="A59" s="108"/>
      <c r="B59" s="116"/>
      <c r="C59" s="116"/>
      <c r="D59" s="116"/>
      <c r="E59" s="116"/>
      <c r="F59" s="116"/>
      <c r="G59" s="44"/>
      <c r="H59" s="51">
        <v>1250</v>
      </c>
      <c r="I59" s="41"/>
      <c r="J59" s="46"/>
      <c r="K59" s="47"/>
      <c r="L59" s="39">
        <f t="shared" si="1"/>
        <v>0</v>
      </c>
      <c r="M59" s="51">
        <f t="shared" si="2"/>
        <v>1250</v>
      </c>
      <c r="N59" s="41">
        <f t="shared" si="3"/>
        <v>0</v>
      </c>
      <c r="O59" s="46">
        <f t="shared" si="4"/>
        <v>0</v>
      </c>
      <c r="P59" s="47">
        <f t="shared" si="5"/>
        <v>0</v>
      </c>
      <c r="U59" s="44"/>
      <c r="V59" s="51" t="s">
        <v>40</v>
      </c>
      <c r="W59" s="41"/>
      <c r="X59" s="46"/>
      <c r="Y59" s="47"/>
    </row>
    <row r="60" spans="1:25" x14ac:dyDescent="0.25">
      <c r="A60" s="108"/>
      <c r="B60" s="116"/>
      <c r="C60" s="116"/>
      <c r="D60" s="116"/>
      <c r="E60" s="49" t="s">
        <v>17</v>
      </c>
      <c r="F60" s="50" t="s">
        <v>24</v>
      </c>
      <c r="G60" s="39">
        <v>8583.81</v>
      </c>
      <c r="H60" s="40"/>
      <c r="I60" s="41"/>
      <c r="J60" s="42">
        <v>5589.35</v>
      </c>
      <c r="K60" s="43">
        <v>11644.24</v>
      </c>
      <c r="L60" s="39">
        <f t="shared" si="1"/>
        <v>8583.81</v>
      </c>
      <c r="M60" s="40">
        <f t="shared" si="2"/>
        <v>0</v>
      </c>
      <c r="N60" s="41">
        <f t="shared" si="3"/>
        <v>0</v>
      </c>
      <c r="O60" s="42">
        <f t="shared" si="4"/>
        <v>5589.35</v>
      </c>
      <c r="P60" s="43">
        <f t="shared" si="5"/>
        <v>11644.24</v>
      </c>
      <c r="U60" s="39">
        <v>8583.81</v>
      </c>
      <c r="V60" s="40"/>
      <c r="W60" s="41"/>
      <c r="X60" s="42">
        <v>5589.35</v>
      </c>
      <c r="Y60" s="43">
        <v>11644.24</v>
      </c>
    </row>
    <row r="61" spans="1:25" x14ac:dyDescent="0.25">
      <c r="A61" s="108" t="s">
        <v>117</v>
      </c>
      <c r="B61" s="110">
        <v>5</v>
      </c>
      <c r="C61" s="115" t="s">
        <v>25</v>
      </c>
      <c r="D61" s="114" t="s">
        <v>26</v>
      </c>
      <c r="E61" s="49" t="s">
        <v>22</v>
      </c>
      <c r="F61" s="50" t="s">
        <v>23</v>
      </c>
      <c r="G61" s="44"/>
      <c r="H61" s="40"/>
      <c r="I61" s="41"/>
      <c r="J61" s="46"/>
      <c r="K61" s="47"/>
      <c r="L61" s="39">
        <f t="shared" si="1"/>
        <v>0</v>
      </c>
      <c r="M61" s="40">
        <f t="shared" si="2"/>
        <v>0</v>
      </c>
      <c r="N61" s="41">
        <f t="shared" si="3"/>
        <v>0</v>
      </c>
      <c r="O61" s="46">
        <f t="shared" si="4"/>
        <v>0</v>
      </c>
      <c r="P61" s="47">
        <f t="shared" si="5"/>
        <v>0</v>
      </c>
      <c r="U61" s="44"/>
      <c r="V61" s="40"/>
      <c r="W61" s="41"/>
      <c r="X61" s="46"/>
      <c r="Y61" s="47"/>
    </row>
    <row r="62" spans="1:25" ht="20.399999999999999" x14ac:dyDescent="0.25">
      <c r="A62" s="108"/>
      <c r="B62" s="110"/>
      <c r="C62" s="115"/>
      <c r="D62" s="114"/>
      <c r="E62" s="114" t="s">
        <v>12</v>
      </c>
      <c r="F62" s="50" t="s">
        <v>23</v>
      </c>
      <c r="G62" s="39">
        <v>172.38</v>
      </c>
      <c r="H62" s="51">
        <v>152</v>
      </c>
      <c r="I62" s="41"/>
      <c r="J62" s="46"/>
      <c r="K62" s="43">
        <v>221.98</v>
      </c>
      <c r="L62" s="39">
        <f t="shared" si="1"/>
        <v>172.38</v>
      </c>
      <c r="M62" s="51">
        <f t="shared" si="2"/>
        <v>152</v>
      </c>
      <c r="N62" s="41">
        <f t="shared" si="3"/>
        <v>0</v>
      </c>
      <c r="O62" s="46">
        <f t="shared" si="4"/>
        <v>0</v>
      </c>
      <c r="P62" s="43">
        <f t="shared" si="5"/>
        <v>221.98</v>
      </c>
      <c r="U62" s="39">
        <v>172.38</v>
      </c>
      <c r="V62" s="51" t="s">
        <v>41</v>
      </c>
      <c r="W62" s="41"/>
      <c r="X62" s="46"/>
      <c r="Y62" s="43">
        <v>221.98</v>
      </c>
    </row>
    <row r="63" spans="1:25" ht="20.399999999999999" x14ac:dyDescent="0.25">
      <c r="A63" s="108"/>
      <c r="B63" s="110"/>
      <c r="C63" s="115"/>
      <c r="D63" s="114"/>
      <c r="E63" s="114"/>
      <c r="F63" s="116"/>
      <c r="G63" s="44"/>
      <c r="H63" s="51">
        <v>152</v>
      </c>
      <c r="I63" s="41"/>
      <c r="J63" s="46"/>
      <c r="K63" s="47"/>
      <c r="L63" s="39">
        <f t="shared" si="1"/>
        <v>0</v>
      </c>
      <c r="M63" s="51">
        <f t="shared" si="2"/>
        <v>152</v>
      </c>
      <c r="N63" s="41">
        <f t="shared" si="3"/>
        <v>0</v>
      </c>
      <c r="O63" s="46">
        <f t="shared" si="4"/>
        <v>0</v>
      </c>
      <c r="P63" s="47">
        <f t="shared" si="5"/>
        <v>0</v>
      </c>
      <c r="U63" s="44"/>
      <c r="V63" s="51" t="s">
        <v>41</v>
      </c>
      <c r="W63" s="41"/>
      <c r="X63" s="46"/>
      <c r="Y63" s="47"/>
    </row>
    <row r="64" spans="1:25" ht="20.399999999999999" x14ac:dyDescent="0.25">
      <c r="A64" s="108"/>
      <c r="B64" s="110"/>
      <c r="C64" s="115"/>
      <c r="D64" s="114"/>
      <c r="E64" s="114"/>
      <c r="F64" s="116"/>
      <c r="G64" s="44"/>
      <c r="H64" s="51">
        <v>152</v>
      </c>
      <c r="I64" s="41"/>
      <c r="J64" s="46"/>
      <c r="K64" s="47"/>
      <c r="L64" s="39">
        <f t="shared" si="1"/>
        <v>0</v>
      </c>
      <c r="M64" s="51">
        <f t="shared" si="2"/>
        <v>152</v>
      </c>
      <c r="N64" s="41">
        <f t="shared" si="3"/>
        <v>0</v>
      </c>
      <c r="O64" s="46">
        <f t="shared" si="4"/>
        <v>0</v>
      </c>
      <c r="P64" s="47">
        <f t="shared" si="5"/>
        <v>0</v>
      </c>
      <c r="U64" s="44"/>
      <c r="V64" s="51" t="s">
        <v>41</v>
      </c>
      <c r="W64" s="41"/>
      <c r="X64" s="46"/>
      <c r="Y64" s="47"/>
    </row>
    <row r="65" spans="1:25" ht="20.399999999999999" x14ac:dyDescent="0.25">
      <c r="A65" s="108"/>
      <c r="B65" s="110"/>
      <c r="C65" s="115"/>
      <c r="D65" s="114"/>
      <c r="E65" s="114"/>
      <c r="F65" s="116"/>
      <c r="G65" s="44"/>
      <c r="H65" s="51">
        <v>152</v>
      </c>
      <c r="I65" s="41"/>
      <c r="J65" s="46"/>
      <c r="K65" s="47"/>
      <c r="L65" s="39">
        <f t="shared" si="1"/>
        <v>0</v>
      </c>
      <c r="M65" s="51">
        <f t="shared" si="2"/>
        <v>152</v>
      </c>
      <c r="N65" s="41">
        <f t="shared" si="3"/>
        <v>0</v>
      </c>
      <c r="O65" s="46">
        <f t="shared" si="4"/>
        <v>0</v>
      </c>
      <c r="P65" s="47">
        <f t="shared" si="5"/>
        <v>0</v>
      </c>
      <c r="U65" s="44"/>
      <c r="V65" s="51" t="s">
        <v>41</v>
      </c>
      <c r="W65" s="41"/>
      <c r="X65" s="46"/>
      <c r="Y65" s="47"/>
    </row>
    <row r="66" spans="1:25" ht="20.399999999999999" x14ac:dyDescent="0.25">
      <c r="A66" s="108"/>
      <c r="B66" s="110"/>
      <c r="C66" s="115"/>
      <c r="D66" s="114"/>
      <c r="E66" s="114"/>
      <c r="F66" s="116"/>
      <c r="G66" s="44"/>
      <c r="H66" s="51">
        <v>152</v>
      </c>
      <c r="I66" s="41"/>
      <c r="J66" s="46"/>
      <c r="K66" s="47"/>
      <c r="L66" s="39">
        <f t="shared" si="1"/>
        <v>0</v>
      </c>
      <c r="M66" s="51">
        <f t="shared" si="2"/>
        <v>152</v>
      </c>
      <c r="N66" s="41">
        <f t="shared" si="3"/>
        <v>0</v>
      </c>
      <c r="O66" s="46">
        <f t="shared" si="4"/>
        <v>0</v>
      </c>
      <c r="P66" s="47">
        <f t="shared" si="5"/>
        <v>0</v>
      </c>
      <c r="U66" s="44"/>
      <c r="V66" s="51" t="s">
        <v>41</v>
      </c>
      <c r="W66" s="41"/>
      <c r="X66" s="46"/>
      <c r="Y66" s="47"/>
    </row>
    <row r="67" spans="1:25" ht="20.399999999999999" x14ac:dyDescent="0.25">
      <c r="A67" s="108"/>
      <c r="B67" s="110"/>
      <c r="C67" s="115"/>
      <c r="D67" s="114"/>
      <c r="E67" s="114"/>
      <c r="F67" s="116"/>
      <c r="G67" s="44"/>
      <c r="H67" s="51">
        <v>152</v>
      </c>
      <c r="I67" s="41"/>
      <c r="J67" s="46"/>
      <c r="K67" s="47"/>
      <c r="L67" s="39">
        <f t="shared" ref="L67:L120" si="6">IF(OR(G67="NA",G67=0),0,(1*G67))</f>
        <v>0</v>
      </c>
      <c r="M67" s="51">
        <f t="shared" ref="M67:M120" si="7">IF(OR(H67="NA",H67=0),0,(1*H67))</f>
        <v>152</v>
      </c>
      <c r="N67" s="41">
        <f t="shared" ref="N67:N120" si="8">IF(OR(I67="NA",I67=0),0,(1*I67))</f>
        <v>0</v>
      </c>
      <c r="O67" s="46">
        <f t="shared" ref="O67:O120" si="9">IF(OR(J67="NA",J67=0),0,(1*J67))</f>
        <v>0</v>
      </c>
      <c r="P67" s="47">
        <f t="shared" ref="P67:P120" si="10">IF(OR(K67="NA",K67=0),0,(1*K67))</f>
        <v>0</v>
      </c>
      <c r="U67" s="44"/>
      <c r="V67" s="51" t="s">
        <v>41</v>
      </c>
      <c r="W67" s="41"/>
      <c r="X67" s="46"/>
      <c r="Y67" s="47"/>
    </row>
    <row r="68" spans="1:25" ht="20.399999999999999" x14ac:dyDescent="0.25">
      <c r="A68" s="108"/>
      <c r="B68" s="110"/>
      <c r="C68" s="115"/>
      <c r="D68" s="114"/>
      <c r="E68" s="114"/>
      <c r="F68" s="116"/>
      <c r="G68" s="44"/>
      <c r="H68" s="51">
        <v>152</v>
      </c>
      <c r="I68" s="41"/>
      <c r="J68" s="46"/>
      <c r="K68" s="47"/>
      <c r="L68" s="39">
        <f t="shared" si="6"/>
        <v>0</v>
      </c>
      <c r="M68" s="51">
        <f t="shared" si="7"/>
        <v>152</v>
      </c>
      <c r="N68" s="41">
        <f t="shared" si="8"/>
        <v>0</v>
      </c>
      <c r="O68" s="46">
        <f t="shared" si="9"/>
        <v>0</v>
      </c>
      <c r="P68" s="47">
        <f t="shared" si="10"/>
        <v>0</v>
      </c>
      <c r="U68" s="44"/>
      <c r="V68" s="51" t="s">
        <v>41</v>
      </c>
      <c r="W68" s="41"/>
      <c r="X68" s="46"/>
      <c r="Y68" s="47"/>
    </row>
    <row r="69" spans="1:25" ht="20.399999999999999" x14ac:dyDescent="0.25">
      <c r="A69" s="108"/>
      <c r="B69" s="110"/>
      <c r="C69" s="115"/>
      <c r="D69" s="114"/>
      <c r="E69" s="114"/>
      <c r="F69" s="116"/>
      <c r="G69" s="44"/>
      <c r="H69" s="51">
        <v>152</v>
      </c>
      <c r="I69" s="41"/>
      <c r="J69" s="46"/>
      <c r="K69" s="47"/>
      <c r="L69" s="39">
        <f t="shared" si="6"/>
        <v>0</v>
      </c>
      <c r="M69" s="51">
        <f t="shared" si="7"/>
        <v>152</v>
      </c>
      <c r="N69" s="41">
        <f t="shared" si="8"/>
        <v>0</v>
      </c>
      <c r="O69" s="46">
        <f t="shared" si="9"/>
        <v>0</v>
      </c>
      <c r="P69" s="47">
        <f t="shared" si="10"/>
        <v>0</v>
      </c>
      <c r="U69" s="44"/>
      <c r="V69" s="51" t="s">
        <v>41</v>
      </c>
      <c r="W69" s="41"/>
      <c r="X69" s="46"/>
      <c r="Y69" s="47"/>
    </row>
    <row r="70" spans="1:25" ht="20.399999999999999" x14ac:dyDescent="0.25">
      <c r="A70" s="108"/>
      <c r="B70" s="110"/>
      <c r="C70" s="115"/>
      <c r="D70" s="114"/>
      <c r="E70" s="114"/>
      <c r="F70" s="116"/>
      <c r="G70" s="44"/>
      <c r="H70" s="51">
        <v>152</v>
      </c>
      <c r="I70" s="41"/>
      <c r="J70" s="46"/>
      <c r="K70" s="47"/>
      <c r="L70" s="39">
        <f t="shared" si="6"/>
        <v>0</v>
      </c>
      <c r="M70" s="51">
        <f t="shared" si="7"/>
        <v>152</v>
      </c>
      <c r="N70" s="41">
        <f t="shared" si="8"/>
        <v>0</v>
      </c>
      <c r="O70" s="46">
        <f t="shared" si="9"/>
        <v>0</v>
      </c>
      <c r="P70" s="47">
        <f t="shared" si="10"/>
        <v>0</v>
      </c>
      <c r="U70" s="44"/>
      <c r="V70" s="51" t="s">
        <v>41</v>
      </c>
      <c r="W70" s="41"/>
      <c r="X70" s="46"/>
      <c r="Y70" s="47"/>
    </row>
    <row r="71" spans="1:25" ht="20.399999999999999" x14ac:dyDescent="0.25">
      <c r="A71" s="108"/>
      <c r="B71" s="110"/>
      <c r="C71" s="115"/>
      <c r="D71" s="114"/>
      <c r="E71" s="114"/>
      <c r="F71" s="116"/>
      <c r="G71" s="44"/>
      <c r="H71" s="51">
        <v>152</v>
      </c>
      <c r="I71" s="41"/>
      <c r="J71" s="46"/>
      <c r="K71" s="47"/>
      <c r="L71" s="39">
        <f t="shared" si="6"/>
        <v>0</v>
      </c>
      <c r="M71" s="51">
        <f t="shared" si="7"/>
        <v>152</v>
      </c>
      <c r="N71" s="41">
        <f t="shared" si="8"/>
        <v>0</v>
      </c>
      <c r="O71" s="46">
        <f t="shared" si="9"/>
        <v>0</v>
      </c>
      <c r="P71" s="47">
        <f t="shared" si="10"/>
        <v>0</v>
      </c>
      <c r="U71" s="44"/>
      <c r="V71" s="51" t="s">
        <v>41</v>
      </c>
      <c r="W71" s="41"/>
      <c r="X71" s="46"/>
      <c r="Y71" s="47"/>
    </row>
    <row r="72" spans="1:25" ht="20.399999999999999" x14ac:dyDescent="0.25">
      <c r="A72" s="108"/>
      <c r="B72" s="110"/>
      <c r="C72" s="115"/>
      <c r="D72" s="114"/>
      <c r="E72" s="114"/>
      <c r="F72" s="116"/>
      <c r="G72" s="44"/>
      <c r="H72" s="51">
        <v>152</v>
      </c>
      <c r="I72" s="41"/>
      <c r="J72" s="46"/>
      <c r="K72" s="47"/>
      <c r="L72" s="39">
        <f t="shared" si="6"/>
        <v>0</v>
      </c>
      <c r="M72" s="51">
        <f t="shared" si="7"/>
        <v>152</v>
      </c>
      <c r="N72" s="41">
        <f t="shared" si="8"/>
        <v>0</v>
      </c>
      <c r="O72" s="46">
        <f t="shared" si="9"/>
        <v>0</v>
      </c>
      <c r="P72" s="47">
        <f t="shared" si="10"/>
        <v>0</v>
      </c>
      <c r="U72" s="44"/>
      <c r="V72" s="51" t="s">
        <v>41</v>
      </c>
      <c r="W72" s="41"/>
      <c r="X72" s="46"/>
      <c r="Y72" s="47"/>
    </row>
    <row r="73" spans="1:25" ht="20.399999999999999" x14ac:dyDescent="0.25">
      <c r="A73" s="108"/>
      <c r="B73" s="110"/>
      <c r="C73" s="115"/>
      <c r="D73" s="114"/>
      <c r="E73" s="114"/>
      <c r="F73" s="116"/>
      <c r="G73" s="44"/>
      <c r="H73" s="51">
        <v>152</v>
      </c>
      <c r="I73" s="41"/>
      <c r="J73" s="46"/>
      <c r="K73" s="47"/>
      <c r="L73" s="39">
        <f t="shared" si="6"/>
        <v>0</v>
      </c>
      <c r="M73" s="51">
        <f t="shared" si="7"/>
        <v>152</v>
      </c>
      <c r="N73" s="41">
        <f t="shared" si="8"/>
        <v>0</v>
      </c>
      <c r="O73" s="46">
        <f t="shared" si="9"/>
        <v>0</v>
      </c>
      <c r="P73" s="47">
        <f t="shared" si="10"/>
        <v>0</v>
      </c>
      <c r="U73" s="44"/>
      <c r="V73" s="51" t="s">
        <v>41</v>
      </c>
      <c r="W73" s="41"/>
      <c r="X73" s="46"/>
      <c r="Y73" s="47"/>
    </row>
    <row r="74" spans="1:25" ht="20.399999999999999" x14ac:dyDescent="0.25">
      <c r="A74" s="108"/>
      <c r="B74" s="110"/>
      <c r="C74" s="115"/>
      <c r="D74" s="114"/>
      <c r="E74" s="114"/>
      <c r="F74" s="116"/>
      <c r="G74" s="44"/>
      <c r="H74" s="51">
        <v>152</v>
      </c>
      <c r="I74" s="41"/>
      <c r="J74" s="46"/>
      <c r="K74" s="47"/>
      <c r="L74" s="39">
        <f t="shared" si="6"/>
        <v>0</v>
      </c>
      <c r="M74" s="51">
        <f t="shared" si="7"/>
        <v>152</v>
      </c>
      <c r="N74" s="41">
        <f t="shared" si="8"/>
        <v>0</v>
      </c>
      <c r="O74" s="46">
        <f t="shared" si="9"/>
        <v>0</v>
      </c>
      <c r="P74" s="47">
        <f t="shared" si="10"/>
        <v>0</v>
      </c>
      <c r="U74" s="44"/>
      <c r="V74" s="51" t="s">
        <v>42</v>
      </c>
      <c r="W74" s="41"/>
      <c r="X74" s="46"/>
      <c r="Y74" s="47"/>
    </row>
    <row r="75" spans="1:25" ht="20.399999999999999" x14ac:dyDescent="0.25">
      <c r="A75" s="108"/>
      <c r="B75" s="110"/>
      <c r="C75" s="115"/>
      <c r="D75" s="114"/>
      <c r="E75" s="114"/>
      <c r="F75" s="116"/>
      <c r="G75" s="44"/>
      <c r="H75" s="51">
        <v>152</v>
      </c>
      <c r="I75" s="41"/>
      <c r="J75" s="46"/>
      <c r="K75" s="47"/>
      <c r="L75" s="39">
        <f t="shared" si="6"/>
        <v>0</v>
      </c>
      <c r="M75" s="51">
        <f t="shared" si="7"/>
        <v>152</v>
      </c>
      <c r="N75" s="41">
        <f t="shared" si="8"/>
        <v>0</v>
      </c>
      <c r="O75" s="46">
        <f t="shared" si="9"/>
        <v>0</v>
      </c>
      <c r="P75" s="47">
        <f t="shared" si="10"/>
        <v>0</v>
      </c>
      <c r="U75" s="44"/>
      <c r="V75" s="51" t="s">
        <v>42</v>
      </c>
      <c r="W75" s="41"/>
      <c r="X75" s="46"/>
      <c r="Y75" s="47"/>
    </row>
    <row r="76" spans="1:25" ht="20.399999999999999" x14ac:dyDescent="0.25">
      <c r="A76" s="108"/>
      <c r="B76" s="110"/>
      <c r="C76" s="115"/>
      <c r="D76" s="114"/>
      <c r="E76" s="114"/>
      <c r="F76" s="116"/>
      <c r="G76" s="44"/>
      <c r="H76" s="51">
        <v>152</v>
      </c>
      <c r="I76" s="41"/>
      <c r="J76" s="46"/>
      <c r="K76" s="47"/>
      <c r="L76" s="39">
        <f t="shared" si="6"/>
        <v>0</v>
      </c>
      <c r="M76" s="51">
        <f t="shared" si="7"/>
        <v>152</v>
      </c>
      <c r="N76" s="41">
        <f t="shared" si="8"/>
        <v>0</v>
      </c>
      <c r="O76" s="46">
        <f t="shared" si="9"/>
        <v>0</v>
      </c>
      <c r="P76" s="47">
        <f t="shared" si="10"/>
        <v>0</v>
      </c>
      <c r="U76" s="44"/>
      <c r="V76" s="51" t="s">
        <v>42</v>
      </c>
      <c r="W76" s="41"/>
      <c r="X76" s="46"/>
      <c r="Y76" s="47"/>
    </row>
    <row r="77" spans="1:25" ht="20.399999999999999" x14ac:dyDescent="0.25">
      <c r="A77" s="108"/>
      <c r="B77" s="110"/>
      <c r="C77" s="115"/>
      <c r="D77" s="114"/>
      <c r="E77" s="114"/>
      <c r="F77" s="116"/>
      <c r="G77" s="44"/>
      <c r="H77" s="51">
        <v>152</v>
      </c>
      <c r="I77" s="41"/>
      <c r="J77" s="46"/>
      <c r="K77" s="47"/>
      <c r="L77" s="39">
        <f t="shared" si="6"/>
        <v>0</v>
      </c>
      <c r="M77" s="51">
        <f t="shared" si="7"/>
        <v>152</v>
      </c>
      <c r="N77" s="41">
        <f t="shared" si="8"/>
        <v>0</v>
      </c>
      <c r="O77" s="46">
        <f t="shared" si="9"/>
        <v>0</v>
      </c>
      <c r="P77" s="47">
        <f t="shared" si="10"/>
        <v>0</v>
      </c>
      <c r="U77" s="44"/>
      <c r="V77" s="51" t="s">
        <v>42</v>
      </c>
      <c r="W77" s="41"/>
      <c r="X77" s="46"/>
      <c r="Y77" s="47"/>
    </row>
    <row r="78" spans="1:25" ht="20.399999999999999" x14ac:dyDescent="0.25">
      <c r="A78" s="108"/>
      <c r="B78" s="110"/>
      <c r="C78" s="115"/>
      <c r="D78" s="114"/>
      <c r="E78" s="114"/>
      <c r="F78" s="116"/>
      <c r="G78" s="44"/>
      <c r="H78" s="51">
        <v>152</v>
      </c>
      <c r="I78" s="41"/>
      <c r="J78" s="46"/>
      <c r="K78" s="47"/>
      <c r="L78" s="39">
        <f t="shared" si="6"/>
        <v>0</v>
      </c>
      <c r="M78" s="51">
        <f t="shared" si="7"/>
        <v>152</v>
      </c>
      <c r="N78" s="41">
        <f t="shared" si="8"/>
        <v>0</v>
      </c>
      <c r="O78" s="46">
        <f t="shared" si="9"/>
        <v>0</v>
      </c>
      <c r="P78" s="47">
        <f t="shared" si="10"/>
        <v>0</v>
      </c>
      <c r="U78" s="44"/>
      <c r="V78" s="51" t="s">
        <v>42</v>
      </c>
      <c r="W78" s="41"/>
      <c r="X78" s="46"/>
      <c r="Y78" s="47"/>
    </row>
    <row r="79" spans="1:25" ht="20.399999999999999" x14ac:dyDescent="0.25">
      <c r="A79" s="108"/>
      <c r="B79" s="110"/>
      <c r="C79" s="115"/>
      <c r="D79" s="114"/>
      <c r="E79" s="114"/>
      <c r="F79" s="116"/>
      <c r="G79" s="44"/>
      <c r="H79" s="51">
        <v>152</v>
      </c>
      <c r="I79" s="41"/>
      <c r="J79" s="46"/>
      <c r="K79" s="47"/>
      <c r="L79" s="39">
        <f t="shared" si="6"/>
        <v>0</v>
      </c>
      <c r="M79" s="51">
        <f t="shared" si="7"/>
        <v>152</v>
      </c>
      <c r="N79" s="41">
        <f t="shared" si="8"/>
        <v>0</v>
      </c>
      <c r="O79" s="46">
        <f t="shared" si="9"/>
        <v>0</v>
      </c>
      <c r="P79" s="47">
        <f t="shared" si="10"/>
        <v>0</v>
      </c>
      <c r="U79" s="44"/>
      <c r="V79" s="51" t="s">
        <v>42</v>
      </c>
      <c r="W79" s="41"/>
      <c r="X79" s="46"/>
      <c r="Y79" s="47"/>
    </row>
    <row r="80" spans="1:25" ht="20.399999999999999" x14ac:dyDescent="0.25">
      <c r="A80" s="108"/>
      <c r="B80" s="110"/>
      <c r="C80" s="115"/>
      <c r="D80" s="114"/>
      <c r="E80" s="114"/>
      <c r="F80" s="116"/>
      <c r="G80" s="44"/>
      <c r="H80" s="51">
        <v>152</v>
      </c>
      <c r="I80" s="41"/>
      <c r="J80" s="46"/>
      <c r="K80" s="47"/>
      <c r="L80" s="39">
        <f t="shared" si="6"/>
        <v>0</v>
      </c>
      <c r="M80" s="51">
        <f t="shared" si="7"/>
        <v>152</v>
      </c>
      <c r="N80" s="41">
        <f t="shared" si="8"/>
        <v>0</v>
      </c>
      <c r="O80" s="46">
        <f t="shared" si="9"/>
        <v>0</v>
      </c>
      <c r="P80" s="47">
        <f t="shared" si="10"/>
        <v>0</v>
      </c>
      <c r="U80" s="44"/>
      <c r="V80" s="51" t="s">
        <v>42</v>
      </c>
      <c r="W80" s="41"/>
      <c r="X80" s="46"/>
      <c r="Y80" s="47"/>
    </row>
    <row r="81" spans="1:25" ht="20.399999999999999" x14ac:dyDescent="0.25">
      <c r="A81" s="108"/>
      <c r="B81" s="110"/>
      <c r="C81" s="115"/>
      <c r="D81" s="114"/>
      <c r="E81" s="114"/>
      <c r="F81" s="116"/>
      <c r="G81" s="44"/>
      <c r="H81" s="51">
        <v>152</v>
      </c>
      <c r="I81" s="41"/>
      <c r="J81" s="46"/>
      <c r="K81" s="47"/>
      <c r="L81" s="39">
        <f t="shared" si="6"/>
        <v>0</v>
      </c>
      <c r="M81" s="51">
        <f t="shared" si="7"/>
        <v>152</v>
      </c>
      <c r="N81" s="41">
        <f t="shared" si="8"/>
        <v>0</v>
      </c>
      <c r="O81" s="46">
        <f t="shared" si="9"/>
        <v>0</v>
      </c>
      <c r="P81" s="47">
        <f t="shared" si="10"/>
        <v>0</v>
      </c>
      <c r="U81" s="44"/>
      <c r="V81" s="51" t="s">
        <v>42</v>
      </c>
      <c r="W81" s="41"/>
      <c r="X81" s="46"/>
      <c r="Y81" s="47"/>
    </row>
    <row r="82" spans="1:25" ht="20.399999999999999" x14ac:dyDescent="0.25">
      <c r="A82" s="108"/>
      <c r="B82" s="110"/>
      <c r="C82" s="115"/>
      <c r="D82" s="114"/>
      <c r="E82" s="114"/>
      <c r="F82" s="116"/>
      <c r="G82" s="44"/>
      <c r="H82" s="51">
        <v>152</v>
      </c>
      <c r="I82" s="41"/>
      <c r="J82" s="46"/>
      <c r="K82" s="47"/>
      <c r="L82" s="39">
        <f t="shared" si="6"/>
        <v>0</v>
      </c>
      <c r="M82" s="51">
        <f t="shared" si="7"/>
        <v>152</v>
      </c>
      <c r="N82" s="41">
        <f t="shared" si="8"/>
        <v>0</v>
      </c>
      <c r="O82" s="46">
        <f t="shared" si="9"/>
        <v>0</v>
      </c>
      <c r="P82" s="47">
        <f t="shared" si="10"/>
        <v>0</v>
      </c>
      <c r="U82" s="44"/>
      <c r="V82" s="51" t="s">
        <v>42</v>
      </c>
      <c r="W82" s="41"/>
      <c r="X82" s="46"/>
      <c r="Y82" s="47"/>
    </row>
    <row r="83" spans="1:25" ht="20.399999999999999" x14ac:dyDescent="0.25">
      <c r="A83" s="108"/>
      <c r="B83" s="110"/>
      <c r="C83" s="115"/>
      <c r="D83" s="114"/>
      <c r="E83" s="114"/>
      <c r="F83" s="116"/>
      <c r="G83" s="44"/>
      <c r="H83" s="51">
        <v>152</v>
      </c>
      <c r="I83" s="41"/>
      <c r="J83" s="46"/>
      <c r="K83" s="47"/>
      <c r="L83" s="39">
        <f t="shared" si="6"/>
        <v>0</v>
      </c>
      <c r="M83" s="51">
        <f t="shared" si="7"/>
        <v>152</v>
      </c>
      <c r="N83" s="41">
        <f t="shared" si="8"/>
        <v>0</v>
      </c>
      <c r="O83" s="46">
        <f t="shared" si="9"/>
        <v>0</v>
      </c>
      <c r="P83" s="47">
        <f t="shared" si="10"/>
        <v>0</v>
      </c>
      <c r="U83" s="44"/>
      <c r="V83" s="51" t="s">
        <v>42</v>
      </c>
      <c r="W83" s="41"/>
      <c r="X83" s="46"/>
      <c r="Y83" s="47"/>
    </row>
    <row r="84" spans="1:25" ht="20.399999999999999" x14ac:dyDescent="0.25">
      <c r="A84" s="108"/>
      <c r="B84" s="110"/>
      <c r="C84" s="115"/>
      <c r="D84" s="114"/>
      <c r="E84" s="114"/>
      <c r="F84" s="116"/>
      <c r="G84" s="44"/>
      <c r="H84" s="51">
        <v>152</v>
      </c>
      <c r="I84" s="41"/>
      <c r="J84" s="46"/>
      <c r="K84" s="47"/>
      <c r="L84" s="39">
        <f t="shared" si="6"/>
        <v>0</v>
      </c>
      <c r="M84" s="51">
        <f t="shared" si="7"/>
        <v>152</v>
      </c>
      <c r="N84" s="41">
        <f t="shared" si="8"/>
        <v>0</v>
      </c>
      <c r="O84" s="46">
        <f t="shared" si="9"/>
        <v>0</v>
      </c>
      <c r="P84" s="47">
        <f t="shared" si="10"/>
        <v>0</v>
      </c>
      <c r="U84" s="44"/>
      <c r="V84" s="51" t="s">
        <v>42</v>
      </c>
      <c r="W84" s="41"/>
      <c r="X84" s="46"/>
      <c r="Y84" s="47"/>
    </row>
    <row r="85" spans="1:25" ht="20.399999999999999" x14ac:dyDescent="0.25">
      <c r="A85" s="108"/>
      <c r="B85" s="110"/>
      <c r="C85" s="115"/>
      <c r="D85" s="114"/>
      <c r="E85" s="114" t="s">
        <v>13</v>
      </c>
      <c r="F85" s="50" t="s">
        <v>23</v>
      </c>
      <c r="G85" s="39">
        <v>3389.92</v>
      </c>
      <c r="H85" s="51">
        <v>2893</v>
      </c>
      <c r="I85" s="41"/>
      <c r="J85" s="46"/>
      <c r="K85" s="43">
        <v>6996.14</v>
      </c>
      <c r="L85" s="39">
        <f t="shared" si="6"/>
        <v>3389.92</v>
      </c>
      <c r="M85" s="51">
        <f t="shared" si="7"/>
        <v>2893</v>
      </c>
      <c r="N85" s="41">
        <f t="shared" si="8"/>
        <v>0</v>
      </c>
      <c r="O85" s="46">
        <f t="shared" si="9"/>
        <v>0</v>
      </c>
      <c r="P85" s="43">
        <f t="shared" si="10"/>
        <v>6996.14</v>
      </c>
      <c r="U85" s="39">
        <v>3389.92</v>
      </c>
      <c r="V85" s="51" t="s">
        <v>43</v>
      </c>
      <c r="W85" s="41"/>
      <c r="X85" s="46"/>
      <c r="Y85" s="43">
        <v>6996.14</v>
      </c>
    </row>
    <row r="86" spans="1:25" ht="20.399999999999999" x14ac:dyDescent="0.25">
      <c r="A86" s="108"/>
      <c r="B86" s="110"/>
      <c r="C86" s="115"/>
      <c r="D86" s="114"/>
      <c r="E86" s="114"/>
      <c r="F86" s="116"/>
      <c r="G86" s="44"/>
      <c r="H86" s="51">
        <v>2893</v>
      </c>
      <c r="I86" s="41"/>
      <c r="J86" s="46"/>
      <c r="K86" s="47"/>
      <c r="L86" s="39">
        <f t="shared" si="6"/>
        <v>0</v>
      </c>
      <c r="M86" s="51">
        <f t="shared" si="7"/>
        <v>2893</v>
      </c>
      <c r="N86" s="41">
        <f t="shared" si="8"/>
        <v>0</v>
      </c>
      <c r="O86" s="46">
        <f t="shared" si="9"/>
        <v>0</v>
      </c>
      <c r="P86" s="47">
        <f t="shared" si="10"/>
        <v>0</v>
      </c>
      <c r="U86" s="44"/>
      <c r="V86" s="51" t="s">
        <v>43</v>
      </c>
      <c r="W86" s="41"/>
      <c r="X86" s="46"/>
      <c r="Y86" s="47"/>
    </row>
    <row r="87" spans="1:25" ht="20.399999999999999" x14ac:dyDescent="0.25">
      <c r="A87" s="108"/>
      <c r="B87" s="110"/>
      <c r="C87" s="115"/>
      <c r="D87" s="114"/>
      <c r="E87" s="114"/>
      <c r="F87" s="116"/>
      <c r="G87" s="44"/>
      <c r="H87" s="51">
        <v>2893</v>
      </c>
      <c r="I87" s="41"/>
      <c r="J87" s="46"/>
      <c r="K87" s="47"/>
      <c r="L87" s="39">
        <f t="shared" si="6"/>
        <v>0</v>
      </c>
      <c r="M87" s="51">
        <f t="shared" si="7"/>
        <v>2893</v>
      </c>
      <c r="N87" s="41">
        <f t="shared" si="8"/>
        <v>0</v>
      </c>
      <c r="O87" s="46">
        <f t="shared" si="9"/>
        <v>0</v>
      </c>
      <c r="P87" s="47">
        <f t="shared" si="10"/>
        <v>0</v>
      </c>
      <c r="U87" s="44"/>
      <c r="V87" s="51" t="s">
        <v>43</v>
      </c>
      <c r="W87" s="41"/>
      <c r="X87" s="46"/>
      <c r="Y87" s="47"/>
    </row>
    <row r="88" spans="1:25" ht="20.399999999999999" x14ac:dyDescent="0.25">
      <c r="A88" s="108"/>
      <c r="B88" s="110"/>
      <c r="C88" s="115"/>
      <c r="D88" s="114"/>
      <c r="E88" s="114"/>
      <c r="F88" s="116"/>
      <c r="G88" s="44"/>
      <c r="H88" s="51">
        <v>2893</v>
      </c>
      <c r="I88" s="41"/>
      <c r="J88" s="46"/>
      <c r="K88" s="47"/>
      <c r="L88" s="39">
        <f t="shared" si="6"/>
        <v>0</v>
      </c>
      <c r="M88" s="51">
        <f t="shared" si="7"/>
        <v>2893</v>
      </c>
      <c r="N88" s="41">
        <f t="shared" si="8"/>
        <v>0</v>
      </c>
      <c r="O88" s="46">
        <f t="shared" si="9"/>
        <v>0</v>
      </c>
      <c r="P88" s="47">
        <f t="shared" si="10"/>
        <v>0</v>
      </c>
      <c r="U88" s="44"/>
      <c r="V88" s="51" t="s">
        <v>43</v>
      </c>
      <c r="W88" s="41"/>
      <c r="X88" s="46"/>
      <c r="Y88" s="47"/>
    </row>
    <row r="89" spans="1:25" ht="20.399999999999999" x14ac:dyDescent="0.25">
      <c r="A89" s="108"/>
      <c r="B89" s="110"/>
      <c r="C89" s="115"/>
      <c r="D89" s="114"/>
      <c r="E89" s="114"/>
      <c r="F89" s="116"/>
      <c r="G89" s="44"/>
      <c r="H89" s="51">
        <v>2893</v>
      </c>
      <c r="I89" s="41"/>
      <c r="J89" s="46"/>
      <c r="K89" s="47"/>
      <c r="L89" s="39">
        <f t="shared" si="6"/>
        <v>0</v>
      </c>
      <c r="M89" s="51">
        <f t="shared" si="7"/>
        <v>2893</v>
      </c>
      <c r="N89" s="41">
        <f t="shared" si="8"/>
        <v>0</v>
      </c>
      <c r="O89" s="46">
        <f t="shared" si="9"/>
        <v>0</v>
      </c>
      <c r="P89" s="47">
        <f t="shared" si="10"/>
        <v>0</v>
      </c>
      <c r="U89" s="44"/>
      <c r="V89" s="51" t="s">
        <v>43</v>
      </c>
      <c r="W89" s="41"/>
      <c r="X89" s="46"/>
      <c r="Y89" s="47"/>
    </row>
    <row r="90" spans="1:25" ht="20.399999999999999" x14ac:dyDescent="0.25">
      <c r="A90" s="108"/>
      <c r="B90" s="110"/>
      <c r="C90" s="115"/>
      <c r="D90" s="114"/>
      <c r="E90" s="114"/>
      <c r="F90" s="116"/>
      <c r="G90" s="44"/>
      <c r="H90" s="51">
        <v>2893</v>
      </c>
      <c r="I90" s="41"/>
      <c r="J90" s="46"/>
      <c r="K90" s="47"/>
      <c r="L90" s="39">
        <f t="shared" si="6"/>
        <v>0</v>
      </c>
      <c r="M90" s="51">
        <f t="shared" si="7"/>
        <v>2893</v>
      </c>
      <c r="N90" s="41">
        <f t="shared" si="8"/>
        <v>0</v>
      </c>
      <c r="O90" s="46">
        <f t="shared" si="9"/>
        <v>0</v>
      </c>
      <c r="P90" s="47">
        <f t="shared" si="10"/>
        <v>0</v>
      </c>
      <c r="U90" s="44"/>
      <c r="V90" s="51" t="s">
        <v>43</v>
      </c>
      <c r="W90" s="41"/>
      <c r="X90" s="46"/>
      <c r="Y90" s="47"/>
    </row>
    <row r="91" spans="1:25" ht="20.399999999999999" x14ac:dyDescent="0.25">
      <c r="A91" s="108"/>
      <c r="B91" s="110"/>
      <c r="C91" s="115"/>
      <c r="D91" s="114"/>
      <c r="E91" s="114"/>
      <c r="F91" s="116"/>
      <c r="G91" s="44"/>
      <c r="H91" s="51">
        <v>2893</v>
      </c>
      <c r="I91" s="41"/>
      <c r="J91" s="46"/>
      <c r="K91" s="47"/>
      <c r="L91" s="39">
        <f t="shared" si="6"/>
        <v>0</v>
      </c>
      <c r="M91" s="51">
        <f t="shared" si="7"/>
        <v>2893</v>
      </c>
      <c r="N91" s="41">
        <f t="shared" si="8"/>
        <v>0</v>
      </c>
      <c r="O91" s="46">
        <f t="shared" si="9"/>
        <v>0</v>
      </c>
      <c r="P91" s="47">
        <f t="shared" si="10"/>
        <v>0</v>
      </c>
      <c r="U91" s="44"/>
      <c r="V91" s="51" t="s">
        <v>43</v>
      </c>
      <c r="W91" s="41"/>
      <c r="X91" s="46"/>
      <c r="Y91" s="47"/>
    </row>
    <row r="92" spans="1:25" ht="20.399999999999999" x14ac:dyDescent="0.25">
      <c r="A92" s="108"/>
      <c r="B92" s="110"/>
      <c r="C92" s="115"/>
      <c r="D92" s="114"/>
      <c r="E92" s="114"/>
      <c r="F92" s="116"/>
      <c r="G92" s="44"/>
      <c r="H92" s="51">
        <v>2893</v>
      </c>
      <c r="I92" s="41"/>
      <c r="J92" s="46"/>
      <c r="K92" s="47"/>
      <c r="L92" s="39">
        <f t="shared" si="6"/>
        <v>0</v>
      </c>
      <c r="M92" s="51">
        <f t="shared" si="7"/>
        <v>2893</v>
      </c>
      <c r="N92" s="41">
        <f t="shared" si="8"/>
        <v>0</v>
      </c>
      <c r="O92" s="46">
        <f t="shared" si="9"/>
        <v>0</v>
      </c>
      <c r="P92" s="47">
        <f t="shared" si="10"/>
        <v>0</v>
      </c>
      <c r="U92" s="44"/>
      <c r="V92" s="51" t="s">
        <v>43</v>
      </c>
      <c r="W92" s="41"/>
      <c r="X92" s="46"/>
      <c r="Y92" s="47"/>
    </row>
    <row r="93" spans="1:25" ht="20.399999999999999" x14ac:dyDescent="0.25">
      <c r="A93" s="108"/>
      <c r="B93" s="110"/>
      <c r="C93" s="115"/>
      <c r="D93" s="114"/>
      <c r="E93" s="114"/>
      <c r="F93" s="116"/>
      <c r="G93" s="44"/>
      <c r="H93" s="51">
        <v>2893</v>
      </c>
      <c r="I93" s="41"/>
      <c r="J93" s="46"/>
      <c r="K93" s="47"/>
      <c r="L93" s="39">
        <f t="shared" si="6"/>
        <v>0</v>
      </c>
      <c r="M93" s="51">
        <f t="shared" si="7"/>
        <v>2893</v>
      </c>
      <c r="N93" s="41">
        <f t="shared" si="8"/>
        <v>0</v>
      </c>
      <c r="O93" s="46">
        <f t="shared" si="9"/>
        <v>0</v>
      </c>
      <c r="P93" s="47">
        <f t="shared" si="10"/>
        <v>0</v>
      </c>
      <c r="U93" s="44"/>
      <c r="V93" s="51" t="s">
        <v>43</v>
      </c>
      <c r="W93" s="41"/>
      <c r="X93" s="46"/>
      <c r="Y93" s="47"/>
    </row>
    <row r="94" spans="1:25" ht="20.399999999999999" x14ac:dyDescent="0.25">
      <c r="A94" s="108"/>
      <c r="B94" s="110"/>
      <c r="C94" s="115"/>
      <c r="D94" s="114"/>
      <c r="E94" s="114"/>
      <c r="F94" s="116"/>
      <c r="G94" s="44"/>
      <c r="H94" s="51">
        <v>2893</v>
      </c>
      <c r="I94" s="41"/>
      <c r="J94" s="46"/>
      <c r="K94" s="47"/>
      <c r="L94" s="39">
        <f t="shared" si="6"/>
        <v>0</v>
      </c>
      <c r="M94" s="51">
        <f t="shared" si="7"/>
        <v>2893</v>
      </c>
      <c r="N94" s="41">
        <f t="shared" si="8"/>
        <v>0</v>
      </c>
      <c r="O94" s="46">
        <f t="shared" si="9"/>
        <v>0</v>
      </c>
      <c r="P94" s="47">
        <f t="shared" si="10"/>
        <v>0</v>
      </c>
      <c r="U94" s="44"/>
      <c r="V94" s="51" t="s">
        <v>43</v>
      </c>
      <c r="W94" s="41"/>
      <c r="X94" s="46"/>
      <c r="Y94" s="47"/>
    </row>
    <row r="95" spans="1:25" ht="20.399999999999999" x14ac:dyDescent="0.25">
      <c r="A95" s="108"/>
      <c r="B95" s="110"/>
      <c r="C95" s="115"/>
      <c r="D95" s="114"/>
      <c r="E95" s="114"/>
      <c r="F95" s="116"/>
      <c r="G95" s="44"/>
      <c r="H95" s="51">
        <v>2893</v>
      </c>
      <c r="I95" s="41"/>
      <c r="J95" s="46"/>
      <c r="K95" s="47"/>
      <c r="L95" s="39">
        <f t="shared" si="6"/>
        <v>0</v>
      </c>
      <c r="M95" s="51">
        <f t="shared" si="7"/>
        <v>2893</v>
      </c>
      <c r="N95" s="41">
        <f t="shared" si="8"/>
        <v>0</v>
      </c>
      <c r="O95" s="46">
        <f t="shared" si="9"/>
        <v>0</v>
      </c>
      <c r="P95" s="47">
        <f t="shared" si="10"/>
        <v>0</v>
      </c>
      <c r="U95" s="44"/>
      <c r="V95" s="51" t="s">
        <v>43</v>
      </c>
      <c r="W95" s="41"/>
      <c r="X95" s="46"/>
      <c r="Y95" s="47"/>
    </row>
    <row r="96" spans="1:25" ht="20.399999999999999" x14ac:dyDescent="0.25">
      <c r="A96" s="108"/>
      <c r="B96" s="110"/>
      <c r="C96" s="115"/>
      <c r="D96" s="114"/>
      <c r="E96" s="114"/>
      <c r="F96" s="116"/>
      <c r="G96" s="44"/>
      <c r="H96" s="51">
        <v>2893</v>
      </c>
      <c r="I96" s="41"/>
      <c r="J96" s="46"/>
      <c r="K96" s="47"/>
      <c r="L96" s="39">
        <f t="shared" si="6"/>
        <v>0</v>
      </c>
      <c r="M96" s="51">
        <f t="shared" si="7"/>
        <v>2893</v>
      </c>
      <c r="N96" s="41">
        <f t="shared" si="8"/>
        <v>0</v>
      </c>
      <c r="O96" s="46">
        <f t="shared" si="9"/>
        <v>0</v>
      </c>
      <c r="P96" s="47">
        <f t="shared" si="10"/>
        <v>0</v>
      </c>
      <c r="U96" s="44"/>
      <c r="V96" s="51" t="s">
        <v>43</v>
      </c>
      <c r="W96" s="41"/>
      <c r="X96" s="46"/>
      <c r="Y96" s="47"/>
    </row>
    <row r="97" spans="1:25" ht="20.399999999999999" x14ac:dyDescent="0.25">
      <c r="A97" s="108"/>
      <c r="B97" s="110"/>
      <c r="C97" s="115"/>
      <c r="D97" s="114"/>
      <c r="E97" s="114"/>
      <c r="F97" s="116"/>
      <c r="G97" s="44"/>
      <c r="H97" s="51">
        <v>2893</v>
      </c>
      <c r="I97" s="41"/>
      <c r="J97" s="46"/>
      <c r="K97" s="47"/>
      <c r="L97" s="39">
        <f t="shared" si="6"/>
        <v>0</v>
      </c>
      <c r="M97" s="51">
        <f t="shared" si="7"/>
        <v>2893</v>
      </c>
      <c r="N97" s="41">
        <f t="shared" si="8"/>
        <v>0</v>
      </c>
      <c r="O97" s="46">
        <f t="shared" si="9"/>
        <v>0</v>
      </c>
      <c r="P97" s="47">
        <f t="shared" si="10"/>
        <v>0</v>
      </c>
      <c r="U97" s="44"/>
      <c r="V97" s="51" t="s">
        <v>44</v>
      </c>
      <c r="W97" s="41"/>
      <c r="X97" s="46"/>
      <c r="Y97" s="47"/>
    </row>
    <row r="98" spans="1:25" ht="20.399999999999999" x14ac:dyDescent="0.25">
      <c r="A98" s="108"/>
      <c r="B98" s="110"/>
      <c r="C98" s="115"/>
      <c r="D98" s="114"/>
      <c r="E98" s="114"/>
      <c r="F98" s="116"/>
      <c r="G98" s="44"/>
      <c r="H98" s="51">
        <v>2893</v>
      </c>
      <c r="I98" s="41"/>
      <c r="J98" s="46"/>
      <c r="K98" s="47"/>
      <c r="L98" s="39">
        <f t="shared" si="6"/>
        <v>0</v>
      </c>
      <c r="M98" s="51">
        <f t="shared" si="7"/>
        <v>2893</v>
      </c>
      <c r="N98" s="41">
        <f t="shared" si="8"/>
        <v>0</v>
      </c>
      <c r="O98" s="46">
        <f t="shared" si="9"/>
        <v>0</v>
      </c>
      <c r="P98" s="47">
        <f t="shared" si="10"/>
        <v>0</v>
      </c>
      <c r="U98" s="44"/>
      <c r="V98" s="51" t="s">
        <v>44</v>
      </c>
      <c r="W98" s="41"/>
      <c r="X98" s="46"/>
      <c r="Y98" s="47"/>
    </row>
    <row r="99" spans="1:25" ht="20.399999999999999" x14ac:dyDescent="0.25">
      <c r="A99" s="108"/>
      <c r="B99" s="110"/>
      <c r="C99" s="115"/>
      <c r="D99" s="114"/>
      <c r="E99" s="114"/>
      <c r="F99" s="116"/>
      <c r="G99" s="44"/>
      <c r="H99" s="51">
        <v>2893</v>
      </c>
      <c r="I99" s="41"/>
      <c r="J99" s="46"/>
      <c r="K99" s="47"/>
      <c r="L99" s="39">
        <f t="shared" si="6"/>
        <v>0</v>
      </c>
      <c r="M99" s="51">
        <f t="shared" si="7"/>
        <v>2893</v>
      </c>
      <c r="N99" s="41">
        <f t="shared" si="8"/>
        <v>0</v>
      </c>
      <c r="O99" s="46">
        <f t="shared" si="9"/>
        <v>0</v>
      </c>
      <c r="P99" s="47">
        <f t="shared" si="10"/>
        <v>0</v>
      </c>
      <c r="U99" s="44"/>
      <c r="V99" s="51" t="s">
        <v>44</v>
      </c>
      <c r="W99" s="41"/>
      <c r="X99" s="46"/>
      <c r="Y99" s="47"/>
    </row>
    <row r="100" spans="1:25" ht="20.399999999999999" x14ac:dyDescent="0.25">
      <c r="A100" s="108"/>
      <c r="B100" s="116"/>
      <c r="C100" s="116"/>
      <c r="D100" s="116"/>
      <c r="E100" s="116"/>
      <c r="F100" s="116"/>
      <c r="G100" s="44"/>
      <c r="H100" s="51">
        <v>2893</v>
      </c>
      <c r="I100" s="41"/>
      <c r="J100" s="46"/>
      <c r="K100" s="47"/>
      <c r="L100" s="39">
        <f t="shared" si="6"/>
        <v>0</v>
      </c>
      <c r="M100" s="51">
        <f t="shared" si="7"/>
        <v>2893</v>
      </c>
      <c r="N100" s="41">
        <f t="shared" si="8"/>
        <v>0</v>
      </c>
      <c r="O100" s="46">
        <f t="shared" si="9"/>
        <v>0</v>
      </c>
      <c r="P100" s="47">
        <f t="shared" si="10"/>
        <v>0</v>
      </c>
      <c r="U100" s="44"/>
      <c r="V100" s="51" t="s">
        <v>44</v>
      </c>
      <c r="W100" s="41"/>
      <c r="X100" s="46"/>
      <c r="Y100" s="47"/>
    </row>
    <row r="101" spans="1:25" ht="20.399999999999999" x14ac:dyDescent="0.25">
      <c r="A101" s="108"/>
      <c r="B101" s="116"/>
      <c r="C101" s="116"/>
      <c r="D101" s="116"/>
      <c r="E101" s="116"/>
      <c r="F101" s="116"/>
      <c r="G101" s="44"/>
      <c r="H101" s="51">
        <v>2893</v>
      </c>
      <c r="I101" s="41"/>
      <c r="J101" s="46"/>
      <c r="K101" s="47"/>
      <c r="L101" s="39">
        <f t="shared" si="6"/>
        <v>0</v>
      </c>
      <c r="M101" s="51">
        <f t="shared" si="7"/>
        <v>2893</v>
      </c>
      <c r="N101" s="41">
        <f t="shared" si="8"/>
        <v>0</v>
      </c>
      <c r="O101" s="46">
        <f t="shared" si="9"/>
        <v>0</v>
      </c>
      <c r="P101" s="47">
        <f t="shared" si="10"/>
        <v>0</v>
      </c>
      <c r="U101" s="44"/>
      <c r="V101" s="51" t="s">
        <v>44</v>
      </c>
      <c r="W101" s="41"/>
      <c r="X101" s="46"/>
      <c r="Y101" s="47"/>
    </row>
    <row r="102" spans="1:25" ht="20.399999999999999" x14ac:dyDescent="0.25">
      <c r="A102" s="108"/>
      <c r="B102" s="116"/>
      <c r="C102" s="116"/>
      <c r="D102" s="116"/>
      <c r="E102" s="116"/>
      <c r="F102" s="116"/>
      <c r="G102" s="44"/>
      <c r="H102" s="51">
        <v>2893</v>
      </c>
      <c r="I102" s="41"/>
      <c r="J102" s="46"/>
      <c r="K102" s="47"/>
      <c r="L102" s="39">
        <f t="shared" si="6"/>
        <v>0</v>
      </c>
      <c r="M102" s="51">
        <f t="shared" si="7"/>
        <v>2893</v>
      </c>
      <c r="N102" s="41">
        <f t="shared" si="8"/>
        <v>0</v>
      </c>
      <c r="O102" s="46">
        <f t="shared" si="9"/>
        <v>0</v>
      </c>
      <c r="P102" s="47">
        <f t="shared" si="10"/>
        <v>0</v>
      </c>
      <c r="U102" s="44"/>
      <c r="V102" s="51" t="s">
        <v>44</v>
      </c>
      <c r="W102" s="41"/>
      <c r="X102" s="46"/>
      <c r="Y102" s="47"/>
    </row>
    <row r="103" spans="1:25" ht="20.399999999999999" x14ac:dyDescent="0.25">
      <c r="A103" s="108"/>
      <c r="B103" s="116"/>
      <c r="C103" s="116"/>
      <c r="D103" s="116"/>
      <c r="E103" s="116"/>
      <c r="F103" s="116"/>
      <c r="G103" s="44"/>
      <c r="H103" s="51">
        <v>2893</v>
      </c>
      <c r="I103" s="41"/>
      <c r="J103" s="46"/>
      <c r="K103" s="47"/>
      <c r="L103" s="39">
        <f t="shared" si="6"/>
        <v>0</v>
      </c>
      <c r="M103" s="51">
        <f t="shared" si="7"/>
        <v>2893</v>
      </c>
      <c r="N103" s="41">
        <f t="shared" si="8"/>
        <v>0</v>
      </c>
      <c r="O103" s="46">
        <f t="shared" si="9"/>
        <v>0</v>
      </c>
      <c r="P103" s="47">
        <f t="shared" si="10"/>
        <v>0</v>
      </c>
      <c r="U103" s="44"/>
      <c r="V103" s="51" t="s">
        <v>44</v>
      </c>
      <c r="W103" s="41"/>
      <c r="X103" s="46"/>
      <c r="Y103" s="47"/>
    </row>
    <row r="104" spans="1:25" ht="20.399999999999999" x14ac:dyDescent="0.25">
      <c r="A104" s="108"/>
      <c r="B104" s="116"/>
      <c r="C104" s="116"/>
      <c r="D104" s="116"/>
      <c r="E104" s="116"/>
      <c r="F104" s="116"/>
      <c r="G104" s="44"/>
      <c r="H104" s="51">
        <v>2893</v>
      </c>
      <c r="I104" s="41"/>
      <c r="J104" s="46"/>
      <c r="K104" s="47"/>
      <c r="L104" s="39">
        <f t="shared" si="6"/>
        <v>0</v>
      </c>
      <c r="M104" s="51">
        <f t="shared" si="7"/>
        <v>2893</v>
      </c>
      <c r="N104" s="41">
        <f t="shared" si="8"/>
        <v>0</v>
      </c>
      <c r="O104" s="46">
        <f t="shared" si="9"/>
        <v>0</v>
      </c>
      <c r="P104" s="47">
        <f t="shared" si="10"/>
        <v>0</v>
      </c>
      <c r="U104" s="44"/>
      <c r="V104" s="51" t="s">
        <v>44</v>
      </c>
      <c r="W104" s="41"/>
      <c r="X104" s="46"/>
      <c r="Y104" s="47"/>
    </row>
    <row r="105" spans="1:25" ht="20.399999999999999" x14ac:dyDescent="0.25">
      <c r="A105" s="108"/>
      <c r="B105" s="116"/>
      <c r="C105" s="116"/>
      <c r="D105" s="116"/>
      <c r="E105" s="116"/>
      <c r="F105" s="116"/>
      <c r="G105" s="44"/>
      <c r="H105" s="51">
        <v>2893</v>
      </c>
      <c r="I105" s="41"/>
      <c r="J105" s="46"/>
      <c r="K105" s="47"/>
      <c r="L105" s="39">
        <f t="shared" si="6"/>
        <v>0</v>
      </c>
      <c r="M105" s="51">
        <f t="shared" si="7"/>
        <v>2893</v>
      </c>
      <c r="N105" s="41">
        <f t="shared" si="8"/>
        <v>0</v>
      </c>
      <c r="O105" s="46">
        <f t="shared" si="9"/>
        <v>0</v>
      </c>
      <c r="P105" s="47">
        <f t="shared" si="10"/>
        <v>0</v>
      </c>
      <c r="U105" s="44"/>
      <c r="V105" s="51" t="s">
        <v>44</v>
      </c>
      <c r="W105" s="41"/>
      <c r="X105" s="46"/>
      <c r="Y105" s="47"/>
    </row>
    <row r="106" spans="1:25" ht="20.399999999999999" x14ac:dyDescent="0.25">
      <c r="A106" s="108"/>
      <c r="B106" s="116"/>
      <c r="C106" s="116"/>
      <c r="D106" s="116"/>
      <c r="E106" s="116"/>
      <c r="F106" s="116"/>
      <c r="G106" s="44"/>
      <c r="H106" s="51">
        <v>2893</v>
      </c>
      <c r="I106" s="41"/>
      <c r="J106" s="46"/>
      <c r="K106" s="47"/>
      <c r="L106" s="39">
        <f t="shared" si="6"/>
        <v>0</v>
      </c>
      <c r="M106" s="51">
        <f t="shared" si="7"/>
        <v>2893</v>
      </c>
      <c r="N106" s="41">
        <f t="shared" si="8"/>
        <v>0</v>
      </c>
      <c r="O106" s="46">
        <f t="shared" si="9"/>
        <v>0</v>
      </c>
      <c r="P106" s="47">
        <f t="shared" si="10"/>
        <v>0</v>
      </c>
      <c r="U106" s="44"/>
      <c r="V106" s="51" t="s">
        <v>44</v>
      </c>
      <c r="W106" s="41"/>
      <c r="X106" s="46"/>
      <c r="Y106" s="47"/>
    </row>
    <row r="107" spans="1:25" ht="20.399999999999999" x14ac:dyDescent="0.25">
      <c r="A107" s="108"/>
      <c r="B107" s="116"/>
      <c r="C107" s="116"/>
      <c r="D107" s="116"/>
      <c r="E107" s="116"/>
      <c r="F107" s="116"/>
      <c r="G107" s="44"/>
      <c r="H107" s="51">
        <v>2893</v>
      </c>
      <c r="I107" s="41"/>
      <c r="J107" s="46"/>
      <c r="K107" s="47"/>
      <c r="L107" s="39">
        <f t="shared" si="6"/>
        <v>0</v>
      </c>
      <c r="M107" s="51">
        <f t="shared" si="7"/>
        <v>2893</v>
      </c>
      <c r="N107" s="41">
        <f t="shared" si="8"/>
        <v>0</v>
      </c>
      <c r="O107" s="46">
        <f t="shared" si="9"/>
        <v>0</v>
      </c>
      <c r="P107" s="47">
        <f t="shared" si="10"/>
        <v>0</v>
      </c>
      <c r="U107" s="44"/>
      <c r="V107" s="51" t="s">
        <v>44</v>
      </c>
      <c r="W107" s="41"/>
      <c r="X107" s="46"/>
      <c r="Y107" s="47"/>
    </row>
    <row r="108" spans="1:25" x14ac:dyDescent="0.25">
      <c r="A108" s="108"/>
      <c r="B108" s="116"/>
      <c r="C108" s="116"/>
      <c r="D108" s="116"/>
      <c r="E108" s="49" t="s">
        <v>17</v>
      </c>
      <c r="F108" s="50" t="s">
        <v>24</v>
      </c>
      <c r="G108" s="39">
        <v>18114.900000000001</v>
      </c>
      <c r="H108" s="40"/>
      <c r="I108" s="41"/>
      <c r="J108" s="42">
        <v>18095.88</v>
      </c>
      <c r="K108" s="43">
        <v>21148.27</v>
      </c>
      <c r="L108" s="39">
        <f t="shared" si="6"/>
        <v>18114.900000000001</v>
      </c>
      <c r="M108" s="40">
        <f t="shared" si="7"/>
        <v>0</v>
      </c>
      <c r="N108" s="41">
        <f t="shared" si="8"/>
        <v>0</v>
      </c>
      <c r="O108" s="42">
        <f t="shared" si="9"/>
        <v>18095.88</v>
      </c>
      <c r="P108" s="43">
        <f t="shared" si="10"/>
        <v>21148.27</v>
      </c>
      <c r="U108" s="39">
        <v>18114.900000000001</v>
      </c>
      <c r="V108" s="40"/>
      <c r="W108" s="41"/>
      <c r="X108" s="42">
        <v>18095.88</v>
      </c>
      <c r="Y108" s="43">
        <v>21148.27</v>
      </c>
    </row>
    <row r="109" spans="1:25" x14ac:dyDescent="0.25">
      <c r="A109" s="107" t="s">
        <v>117</v>
      </c>
      <c r="B109" s="110">
        <v>6</v>
      </c>
      <c r="C109" s="114" t="s">
        <v>27</v>
      </c>
      <c r="D109" s="113" t="s">
        <v>28</v>
      </c>
      <c r="E109" s="113" t="s">
        <v>11</v>
      </c>
      <c r="F109" s="113"/>
      <c r="G109" s="44"/>
      <c r="H109" s="40"/>
      <c r="I109" s="41"/>
      <c r="J109" s="42">
        <v>61.59</v>
      </c>
      <c r="K109" s="47"/>
      <c r="L109" s="39">
        <f t="shared" si="6"/>
        <v>0</v>
      </c>
      <c r="M109" s="40">
        <f t="shared" si="7"/>
        <v>0</v>
      </c>
      <c r="N109" s="41">
        <f t="shared" si="8"/>
        <v>0</v>
      </c>
      <c r="O109" s="42">
        <f t="shared" si="9"/>
        <v>61.59</v>
      </c>
      <c r="P109" s="47">
        <f t="shared" si="10"/>
        <v>0</v>
      </c>
      <c r="U109" s="44"/>
      <c r="V109" s="40"/>
      <c r="W109" s="41"/>
      <c r="X109" s="42">
        <v>61.59</v>
      </c>
      <c r="Y109" s="47"/>
    </row>
    <row r="110" spans="1:25" x14ac:dyDescent="0.25">
      <c r="A110" s="108"/>
      <c r="B110" s="110"/>
      <c r="C110" s="114"/>
      <c r="D110" s="113"/>
      <c r="E110" s="111" t="s">
        <v>16</v>
      </c>
      <c r="F110" s="111"/>
      <c r="G110" s="39">
        <v>173.67</v>
      </c>
      <c r="H110" s="52">
        <v>251.6</v>
      </c>
      <c r="I110" s="41"/>
      <c r="J110" s="46"/>
      <c r="K110" s="43">
        <v>149.58000000000001</v>
      </c>
      <c r="L110" s="39">
        <f t="shared" si="6"/>
        <v>173.67</v>
      </c>
      <c r="M110" s="52">
        <f t="shared" si="7"/>
        <v>251.6</v>
      </c>
      <c r="N110" s="41">
        <f t="shared" si="8"/>
        <v>0</v>
      </c>
      <c r="O110" s="46">
        <f t="shared" si="9"/>
        <v>0</v>
      </c>
      <c r="P110" s="43">
        <f t="shared" si="10"/>
        <v>149.58000000000001</v>
      </c>
      <c r="U110" s="39">
        <v>173.67</v>
      </c>
      <c r="V110" s="52">
        <v>251.6</v>
      </c>
      <c r="W110" s="41"/>
      <c r="X110" s="46"/>
      <c r="Y110" s="43">
        <v>149.58000000000001</v>
      </c>
    </row>
    <row r="111" spans="1:25" x14ac:dyDescent="0.25">
      <c r="A111" s="108"/>
      <c r="B111" s="110"/>
      <c r="C111" s="114"/>
      <c r="D111" s="113"/>
      <c r="E111" s="114" t="s">
        <v>13</v>
      </c>
      <c r="F111" s="114"/>
      <c r="G111" s="39">
        <v>141.66999999999999</v>
      </c>
      <c r="H111" s="68">
        <v>162.13</v>
      </c>
      <c r="I111" s="41"/>
      <c r="J111" s="46"/>
      <c r="K111" s="43">
        <v>60.08</v>
      </c>
      <c r="L111" s="39">
        <f t="shared" si="6"/>
        <v>141.66999999999999</v>
      </c>
      <c r="M111" s="68">
        <f t="shared" si="7"/>
        <v>162.13</v>
      </c>
      <c r="N111" s="41">
        <f t="shared" si="8"/>
        <v>0</v>
      </c>
      <c r="O111" s="46">
        <f t="shared" si="9"/>
        <v>0</v>
      </c>
      <c r="P111" s="43">
        <f t="shared" si="10"/>
        <v>60.08</v>
      </c>
      <c r="U111" s="39">
        <v>141.66999999999999</v>
      </c>
      <c r="V111" s="68">
        <v>162.13</v>
      </c>
      <c r="W111" s="41"/>
      <c r="X111" s="46"/>
      <c r="Y111" s="43">
        <v>60.08</v>
      </c>
    </row>
    <row r="112" spans="1:25" x14ac:dyDescent="0.25">
      <c r="A112" s="108"/>
      <c r="B112" s="110"/>
      <c r="C112" s="114"/>
      <c r="D112" s="113"/>
      <c r="E112" s="114" t="s">
        <v>17</v>
      </c>
      <c r="F112" s="114"/>
      <c r="G112" s="39">
        <v>59.33</v>
      </c>
      <c r="H112" s="40"/>
      <c r="I112" s="41"/>
      <c r="J112" s="46"/>
      <c r="K112" s="43">
        <v>59.33</v>
      </c>
      <c r="L112" s="39">
        <f t="shared" si="6"/>
        <v>59.33</v>
      </c>
      <c r="M112" s="40">
        <f t="shared" si="7"/>
        <v>0</v>
      </c>
      <c r="N112" s="41">
        <f t="shared" si="8"/>
        <v>0</v>
      </c>
      <c r="O112" s="46">
        <f t="shared" si="9"/>
        <v>0</v>
      </c>
      <c r="P112" s="43">
        <f t="shared" si="10"/>
        <v>59.33</v>
      </c>
      <c r="U112" s="39">
        <v>59.33</v>
      </c>
      <c r="V112" s="40"/>
      <c r="W112" s="41"/>
      <c r="X112" s="46"/>
      <c r="Y112" s="43">
        <v>59.33</v>
      </c>
    </row>
    <row r="113" spans="1:25" x14ac:dyDescent="0.25">
      <c r="A113" s="107" t="s">
        <v>117</v>
      </c>
      <c r="B113" s="110">
        <v>7</v>
      </c>
      <c r="C113" s="115" t="s">
        <v>29</v>
      </c>
      <c r="D113" s="112" t="s">
        <v>30</v>
      </c>
      <c r="E113" s="113" t="s">
        <v>11</v>
      </c>
      <c r="F113" s="113"/>
      <c r="G113" s="44"/>
      <c r="H113" s="40"/>
      <c r="I113" s="41"/>
      <c r="J113" s="42">
        <v>99.83</v>
      </c>
      <c r="K113" s="47"/>
      <c r="L113" s="39">
        <f t="shared" si="6"/>
        <v>0</v>
      </c>
      <c r="M113" s="40">
        <f t="shared" si="7"/>
        <v>0</v>
      </c>
      <c r="N113" s="41">
        <f t="shared" si="8"/>
        <v>0</v>
      </c>
      <c r="O113" s="42">
        <f t="shared" si="9"/>
        <v>99.83</v>
      </c>
      <c r="P113" s="47">
        <f t="shared" si="10"/>
        <v>0</v>
      </c>
      <c r="U113" s="44"/>
      <c r="V113" s="40"/>
      <c r="W113" s="41"/>
      <c r="X113" s="42">
        <v>99.83</v>
      </c>
      <c r="Y113" s="47"/>
    </row>
    <row r="114" spans="1:25" x14ac:dyDescent="0.25">
      <c r="A114" s="108"/>
      <c r="B114" s="110"/>
      <c r="C114" s="115"/>
      <c r="D114" s="112"/>
      <c r="E114" s="111" t="s">
        <v>16</v>
      </c>
      <c r="F114" s="111"/>
      <c r="G114" s="39">
        <v>99.84</v>
      </c>
      <c r="H114" s="68">
        <v>97.87</v>
      </c>
      <c r="I114" s="41"/>
      <c r="J114" s="46"/>
      <c r="K114" s="43">
        <v>99.64</v>
      </c>
      <c r="L114" s="39">
        <f t="shared" si="6"/>
        <v>99.84</v>
      </c>
      <c r="M114" s="68">
        <f t="shared" si="7"/>
        <v>97.87</v>
      </c>
      <c r="N114" s="41">
        <f t="shared" si="8"/>
        <v>0</v>
      </c>
      <c r="O114" s="46">
        <f t="shared" si="9"/>
        <v>0</v>
      </c>
      <c r="P114" s="43">
        <f t="shared" si="10"/>
        <v>99.64</v>
      </c>
      <c r="U114" s="39">
        <v>99.84</v>
      </c>
      <c r="V114" s="68">
        <v>97.87</v>
      </c>
      <c r="W114" s="41"/>
      <c r="X114" s="46"/>
      <c r="Y114" s="43">
        <v>99.64</v>
      </c>
    </row>
    <row r="115" spans="1:25" x14ac:dyDescent="0.25">
      <c r="A115" s="108"/>
      <c r="B115" s="110"/>
      <c r="C115" s="115"/>
      <c r="D115" s="112"/>
      <c r="E115" s="114" t="s">
        <v>13</v>
      </c>
      <c r="F115" s="114"/>
      <c r="G115" s="39">
        <v>98.2</v>
      </c>
      <c r="H115" s="68">
        <v>98.56</v>
      </c>
      <c r="I115" s="41"/>
      <c r="J115" s="46"/>
      <c r="K115" s="43">
        <v>97.8</v>
      </c>
      <c r="L115" s="39">
        <f t="shared" si="6"/>
        <v>98.2</v>
      </c>
      <c r="M115" s="68">
        <f t="shared" si="7"/>
        <v>98.56</v>
      </c>
      <c r="N115" s="41">
        <f t="shared" si="8"/>
        <v>0</v>
      </c>
      <c r="O115" s="46">
        <f t="shared" si="9"/>
        <v>0</v>
      </c>
      <c r="P115" s="43">
        <f t="shared" si="10"/>
        <v>97.8</v>
      </c>
      <c r="U115" s="39">
        <v>98.2</v>
      </c>
      <c r="V115" s="68">
        <v>98.56</v>
      </c>
      <c r="W115" s="41"/>
      <c r="X115" s="46"/>
      <c r="Y115" s="43">
        <v>97.8</v>
      </c>
    </row>
    <row r="116" spans="1:25" x14ac:dyDescent="0.25">
      <c r="A116" s="108"/>
      <c r="B116" s="110"/>
      <c r="C116" s="115"/>
      <c r="D116" s="112"/>
      <c r="E116" s="114" t="s">
        <v>17</v>
      </c>
      <c r="F116" s="114"/>
      <c r="G116" s="39">
        <v>98.96</v>
      </c>
      <c r="H116" s="40"/>
      <c r="I116" s="41"/>
      <c r="J116" s="46"/>
      <c r="K116" s="43">
        <v>98.62</v>
      </c>
      <c r="L116" s="39">
        <f t="shared" si="6"/>
        <v>98.96</v>
      </c>
      <c r="M116" s="40">
        <f t="shared" si="7"/>
        <v>0</v>
      </c>
      <c r="N116" s="41">
        <f t="shared" si="8"/>
        <v>0</v>
      </c>
      <c r="O116" s="46">
        <f t="shared" si="9"/>
        <v>0</v>
      </c>
      <c r="P116" s="43">
        <f t="shared" si="10"/>
        <v>98.62</v>
      </c>
      <c r="U116" s="39">
        <v>98.96</v>
      </c>
      <c r="V116" s="40"/>
      <c r="W116" s="41"/>
      <c r="X116" s="46"/>
      <c r="Y116" s="43">
        <v>98.62</v>
      </c>
    </row>
    <row r="117" spans="1:25" x14ac:dyDescent="0.25">
      <c r="A117" s="107" t="s">
        <v>117</v>
      </c>
      <c r="B117" s="110">
        <v>8</v>
      </c>
      <c r="C117" s="111" t="s">
        <v>31</v>
      </c>
      <c r="D117" s="112" t="s">
        <v>32</v>
      </c>
      <c r="E117" s="113" t="s">
        <v>11</v>
      </c>
      <c r="F117" s="113"/>
      <c r="G117" s="44"/>
      <c r="H117" s="40"/>
      <c r="I117" s="41"/>
      <c r="J117" s="42">
        <v>0.46</v>
      </c>
      <c r="K117" s="47"/>
      <c r="L117" s="39">
        <f t="shared" si="6"/>
        <v>0</v>
      </c>
      <c r="M117" s="40">
        <f t="shared" si="7"/>
        <v>0</v>
      </c>
      <c r="N117" s="41">
        <f t="shared" si="8"/>
        <v>0</v>
      </c>
      <c r="O117" s="42">
        <f t="shared" si="9"/>
        <v>0.46</v>
      </c>
      <c r="P117" s="47">
        <f t="shared" si="10"/>
        <v>0</v>
      </c>
      <c r="U117" s="44"/>
      <c r="V117" s="40"/>
      <c r="W117" s="41"/>
      <c r="X117" s="42">
        <v>0.46</v>
      </c>
      <c r="Y117" s="47"/>
    </row>
    <row r="118" spans="1:25" x14ac:dyDescent="0.25">
      <c r="A118" s="108"/>
      <c r="B118" s="110"/>
      <c r="C118" s="111"/>
      <c r="D118" s="112"/>
      <c r="E118" s="111" t="s">
        <v>16</v>
      </c>
      <c r="F118" s="111"/>
      <c r="G118" s="39">
        <v>1.95</v>
      </c>
      <c r="H118" s="40"/>
      <c r="I118" s="41"/>
      <c r="J118" s="46"/>
      <c r="K118" s="43">
        <v>2.65</v>
      </c>
      <c r="L118" s="39">
        <f t="shared" si="6"/>
        <v>1.95</v>
      </c>
      <c r="M118" s="40">
        <f t="shared" si="7"/>
        <v>0</v>
      </c>
      <c r="N118" s="41">
        <f t="shared" si="8"/>
        <v>0</v>
      </c>
      <c r="O118" s="46">
        <f t="shared" si="9"/>
        <v>0</v>
      </c>
      <c r="P118" s="43">
        <f t="shared" si="10"/>
        <v>2.65</v>
      </c>
      <c r="U118" s="39">
        <v>1.95</v>
      </c>
      <c r="V118" s="40"/>
      <c r="W118" s="41"/>
      <c r="X118" s="46"/>
      <c r="Y118" s="43">
        <v>2.65</v>
      </c>
    </row>
    <row r="119" spans="1:25" x14ac:dyDescent="0.25">
      <c r="A119" s="108"/>
      <c r="B119" s="110"/>
      <c r="C119" s="111"/>
      <c r="D119" s="112"/>
      <c r="E119" s="114" t="s">
        <v>13</v>
      </c>
      <c r="F119" s="114"/>
      <c r="G119" s="39">
        <v>0.37</v>
      </c>
      <c r="H119" s="68">
        <v>1.2</v>
      </c>
      <c r="I119" s="41"/>
      <c r="J119" s="46"/>
      <c r="K119" s="43">
        <v>0.66</v>
      </c>
      <c r="L119" s="39">
        <f t="shared" si="6"/>
        <v>0.37</v>
      </c>
      <c r="M119" s="68">
        <f t="shared" si="7"/>
        <v>1.2</v>
      </c>
      <c r="N119" s="41">
        <f t="shared" si="8"/>
        <v>0</v>
      </c>
      <c r="O119" s="46">
        <f t="shared" si="9"/>
        <v>0</v>
      </c>
      <c r="P119" s="43">
        <f t="shared" si="10"/>
        <v>0.66</v>
      </c>
      <c r="U119" s="39">
        <v>0.37</v>
      </c>
      <c r="V119" s="68">
        <v>1.2</v>
      </c>
      <c r="W119" s="41"/>
      <c r="X119" s="46"/>
      <c r="Y119" s="43">
        <v>0.66</v>
      </c>
    </row>
    <row r="120" spans="1:25" x14ac:dyDescent="0.25">
      <c r="A120" s="108"/>
      <c r="B120" s="110"/>
      <c r="C120" s="111"/>
      <c r="D120" s="112"/>
      <c r="E120" s="114" t="s">
        <v>17</v>
      </c>
      <c r="F120" s="114"/>
      <c r="G120" s="39">
        <v>0.39</v>
      </c>
      <c r="H120" s="40"/>
      <c r="I120" s="41"/>
      <c r="J120" s="46"/>
      <c r="K120" s="43">
        <v>0.54</v>
      </c>
      <c r="L120" s="39">
        <f t="shared" si="6"/>
        <v>0.39</v>
      </c>
      <c r="M120" s="40">
        <f t="shared" si="7"/>
        <v>0</v>
      </c>
      <c r="N120" s="41">
        <f t="shared" si="8"/>
        <v>0</v>
      </c>
      <c r="O120" s="46">
        <f t="shared" si="9"/>
        <v>0</v>
      </c>
      <c r="P120" s="43">
        <f t="shared" si="10"/>
        <v>0.54</v>
      </c>
      <c r="U120" s="39">
        <v>0.39</v>
      </c>
      <c r="V120" s="40"/>
      <c r="W120" s="41"/>
      <c r="X120" s="46"/>
      <c r="Y120" s="43">
        <v>0.54</v>
      </c>
    </row>
  </sheetData>
  <mergeCells count="74">
    <mergeCell ref="B2:B4"/>
    <mergeCell ref="C2:C4"/>
    <mergeCell ref="D2:D4"/>
    <mergeCell ref="E2:F2"/>
    <mergeCell ref="E3:F3"/>
    <mergeCell ref="E4:F4"/>
    <mergeCell ref="B5:B8"/>
    <mergeCell ref="C5:C8"/>
    <mergeCell ref="D5:D8"/>
    <mergeCell ref="E5:F5"/>
    <mergeCell ref="E6:F6"/>
    <mergeCell ref="E7:F7"/>
    <mergeCell ref="E8:F8"/>
    <mergeCell ref="B9:B12"/>
    <mergeCell ref="C9:C12"/>
    <mergeCell ref="D9:D12"/>
    <mergeCell ref="E9:F9"/>
    <mergeCell ref="E10:F10"/>
    <mergeCell ref="E11:F11"/>
    <mergeCell ref="E12:F12"/>
    <mergeCell ref="D13:D56"/>
    <mergeCell ref="B14:B56"/>
    <mergeCell ref="C14:C56"/>
    <mergeCell ref="E14:E36"/>
    <mergeCell ref="F15:F36"/>
    <mergeCell ref="E37:E56"/>
    <mergeCell ref="F38:F56"/>
    <mergeCell ref="B57:B60"/>
    <mergeCell ref="C57:C60"/>
    <mergeCell ref="D57:D60"/>
    <mergeCell ref="E57:E59"/>
    <mergeCell ref="F57:F59"/>
    <mergeCell ref="E85:E99"/>
    <mergeCell ref="F86:F99"/>
    <mergeCell ref="B100:B108"/>
    <mergeCell ref="C100:C108"/>
    <mergeCell ref="D100:D108"/>
    <mergeCell ref="E100:E107"/>
    <mergeCell ref="F100:F107"/>
    <mergeCell ref="B61:B99"/>
    <mergeCell ref="C61:C99"/>
    <mergeCell ref="D61:D99"/>
    <mergeCell ref="E62:E84"/>
    <mergeCell ref="F63:F84"/>
    <mergeCell ref="B109:B112"/>
    <mergeCell ref="C109:C112"/>
    <mergeCell ref="D109:D112"/>
    <mergeCell ref="E109:F109"/>
    <mergeCell ref="E110:F110"/>
    <mergeCell ref="E111:F111"/>
    <mergeCell ref="E112:F112"/>
    <mergeCell ref="B113:B116"/>
    <mergeCell ref="C113:C116"/>
    <mergeCell ref="D113:D116"/>
    <mergeCell ref="E113:F113"/>
    <mergeCell ref="E114:F114"/>
    <mergeCell ref="E115:F115"/>
    <mergeCell ref="E116:F116"/>
    <mergeCell ref="A109:A112"/>
    <mergeCell ref="A113:A116"/>
    <mergeCell ref="A117:A120"/>
    <mergeCell ref="E1:F1"/>
    <mergeCell ref="A2:A4"/>
    <mergeCell ref="A5:A8"/>
    <mergeCell ref="A9:A12"/>
    <mergeCell ref="A13:A60"/>
    <mergeCell ref="A61:A108"/>
    <mergeCell ref="B117:B120"/>
    <mergeCell ref="C117:C120"/>
    <mergeCell ref="D117:D120"/>
    <mergeCell ref="E117:F117"/>
    <mergeCell ref="E118:F118"/>
    <mergeCell ref="E119:F119"/>
    <mergeCell ref="E120:F1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36"/>
  <sheetViews>
    <sheetView workbookViewId="0">
      <selection activeCell="L3" sqref="L3"/>
    </sheetView>
  </sheetViews>
  <sheetFormatPr defaultRowHeight="13.2" x14ac:dyDescent="0.25"/>
  <cols>
    <col min="1" max="1" width="21" customWidth="1"/>
  </cols>
  <sheetData>
    <row r="1" spans="1:25" ht="20.399999999999999" x14ac:dyDescent="0.25">
      <c r="A1" s="31" t="s">
        <v>115</v>
      </c>
      <c r="B1" s="32" t="s">
        <v>0</v>
      </c>
      <c r="C1" s="33" t="s">
        <v>1</v>
      </c>
      <c r="D1" s="33" t="s">
        <v>2</v>
      </c>
      <c r="E1" s="109" t="s">
        <v>3</v>
      </c>
      <c r="F1" s="109"/>
      <c r="G1" s="34" t="s">
        <v>4</v>
      </c>
      <c r="H1" s="35" t="s">
        <v>5</v>
      </c>
      <c r="I1" s="36" t="s">
        <v>6</v>
      </c>
      <c r="J1" s="37" t="s">
        <v>7</v>
      </c>
      <c r="K1" s="38" t="s">
        <v>8</v>
      </c>
      <c r="L1" s="34" t="s">
        <v>4</v>
      </c>
      <c r="M1" s="35" t="s">
        <v>5</v>
      </c>
      <c r="N1" s="36" t="s">
        <v>6</v>
      </c>
      <c r="O1" s="37" t="s">
        <v>7</v>
      </c>
      <c r="P1" s="38" t="s">
        <v>8</v>
      </c>
      <c r="U1" s="34" t="s">
        <v>4</v>
      </c>
      <c r="V1" s="35" t="s">
        <v>5</v>
      </c>
      <c r="W1" s="36" t="s">
        <v>6</v>
      </c>
      <c r="X1" s="37" t="s">
        <v>7</v>
      </c>
      <c r="Y1" s="38" t="s">
        <v>8</v>
      </c>
    </row>
    <row r="2" spans="1:25" x14ac:dyDescent="0.25">
      <c r="A2" s="107" t="s">
        <v>118</v>
      </c>
      <c r="B2" s="110">
        <v>1</v>
      </c>
      <c r="C2" s="118" t="s">
        <v>9</v>
      </c>
      <c r="D2" s="118" t="s">
        <v>33</v>
      </c>
      <c r="E2" s="113" t="s">
        <v>11</v>
      </c>
      <c r="F2" s="113"/>
      <c r="G2" s="39">
        <v>100</v>
      </c>
      <c r="H2" s="40"/>
      <c r="I2" s="41"/>
      <c r="J2" s="42">
        <v>98.66</v>
      </c>
      <c r="K2" s="43">
        <v>100</v>
      </c>
      <c r="L2" s="39">
        <f>IF(OR(G2="NA",G2=0),0,(1*G2))</f>
        <v>100</v>
      </c>
      <c r="M2" s="40">
        <f t="shared" ref="M2:P2" si="0">IF(OR(H2="NA",H2=0),0,(1*H2))</f>
        <v>0</v>
      </c>
      <c r="N2" s="41">
        <f t="shared" si="0"/>
        <v>0</v>
      </c>
      <c r="O2" s="42">
        <f t="shared" si="0"/>
        <v>98.66</v>
      </c>
      <c r="P2" s="43">
        <f t="shared" si="0"/>
        <v>100</v>
      </c>
      <c r="U2" s="39">
        <v>100</v>
      </c>
      <c r="V2" s="40"/>
      <c r="W2" s="41"/>
      <c r="X2" s="42">
        <v>98.66</v>
      </c>
      <c r="Y2" s="43">
        <v>100</v>
      </c>
    </row>
    <row r="3" spans="1:25" x14ac:dyDescent="0.25">
      <c r="A3" s="108"/>
      <c r="B3" s="110"/>
      <c r="C3" s="118"/>
      <c r="D3" s="118"/>
      <c r="E3" s="114" t="s">
        <v>12</v>
      </c>
      <c r="F3" s="114"/>
      <c r="G3" s="44"/>
      <c r="H3" s="68">
        <v>100</v>
      </c>
      <c r="I3" s="41"/>
      <c r="J3" s="46"/>
      <c r="K3" s="47"/>
      <c r="L3" s="39">
        <f t="shared" ref="L3:L36" si="1">IF(OR(G3="NA",G3=0),0,(1*G3))</f>
        <v>0</v>
      </c>
      <c r="M3" s="68">
        <f t="shared" ref="M3:M36" si="2">IF(OR(H3="NA",H3=0),0,(1*H3))</f>
        <v>100</v>
      </c>
      <c r="N3" s="41">
        <f t="shared" ref="N3:N36" si="3">IF(OR(I3="NA",I3=0),0,(1*I3))</f>
        <v>0</v>
      </c>
      <c r="O3" s="46">
        <f t="shared" ref="O3:O36" si="4">IF(OR(J3="NA",J3=0),0,(1*J3))</f>
        <v>0</v>
      </c>
      <c r="P3" s="47">
        <f t="shared" ref="P3:P36" si="5">IF(OR(K3="NA",K3=0),0,(1*K3))</f>
        <v>0</v>
      </c>
      <c r="U3" s="44"/>
      <c r="V3" s="68">
        <v>100</v>
      </c>
      <c r="W3" s="41"/>
      <c r="X3" s="46"/>
      <c r="Y3" s="47"/>
    </row>
    <row r="4" spans="1:25" x14ac:dyDescent="0.25">
      <c r="A4" s="108"/>
      <c r="B4" s="110"/>
      <c r="C4" s="118"/>
      <c r="D4" s="118"/>
      <c r="E4" s="114" t="s">
        <v>13</v>
      </c>
      <c r="F4" s="114"/>
      <c r="G4" s="44"/>
      <c r="H4" s="68">
        <v>100</v>
      </c>
      <c r="I4" s="41"/>
      <c r="J4" s="46"/>
      <c r="K4" s="47"/>
      <c r="L4" s="39">
        <f t="shared" si="1"/>
        <v>0</v>
      </c>
      <c r="M4" s="68">
        <f t="shared" si="2"/>
        <v>100</v>
      </c>
      <c r="N4" s="41">
        <f t="shared" si="3"/>
        <v>0</v>
      </c>
      <c r="O4" s="46">
        <f t="shared" si="4"/>
        <v>0</v>
      </c>
      <c r="P4" s="47">
        <f t="shared" si="5"/>
        <v>0</v>
      </c>
      <c r="U4" s="44"/>
      <c r="V4" s="68">
        <v>100</v>
      </c>
      <c r="W4" s="41"/>
      <c r="X4" s="46"/>
      <c r="Y4" s="47"/>
    </row>
    <row r="5" spans="1:25" x14ac:dyDescent="0.25">
      <c r="A5" s="108" t="s">
        <v>118</v>
      </c>
      <c r="B5" s="110">
        <v>2</v>
      </c>
      <c r="C5" s="114" t="s">
        <v>14</v>
      </c>
      <c r="D5" s="114" t="s">
        <v>15</v>
      </c>
      <c r="E5" s="113" t="s">
        <v>11</v>
      </c>
      <c r="F5" s="113"/>
      <c r="G5" s="44"/>
      <c r="H5" s="40"/>
      <c r="I5" s="41"/>
      <c r="J5" s="42">
        <v>100</v>
      </c>
      <c r="K5" s="47"/>
      <c r="L5" s="39">
        <f t="shared" si="1"/>
        <v>0</v>
      </c>
      <c r="M5" s="40">
        <f t="shared" si="2"/>
        <v>0</v>
      </c>
      <c r="N5" s="41">
        <f t="shared" si="3"/>
        <v>0</v>
      </c>
      <c r="O5" s="42">
        <f t="shared" si="4"/>
        <v>100</v>
      </c>
      <c r="P5" s="47">
        <f t="shared" si="5"/>
        <v>0</v>
      </c>
      <c r="U5" s="44"/>
      <c r="V5" s="40"/>
      <c r="W5" s="41"/>
      <c r="X5" s="42">
        <v>100</v>
      </c>
      <c r="Y5" s="47"/>
    </row>
    <row r="6" spans="1:25" x14ac:dyDescent="0.25">
      <c r="A6" s="108"/>
      <c r="B6" s="110"/>
      <c r="C6" s="114"/>
      <c r="D6" s="114"/>
      <c r="E6" s="111" t="s">
        <v>16</v>
      </c>
      <c r="F6" s="111"/>
      <c r="G6" s="39">
        <v>99.5</v>
      </c>
      <c r="H6" s="68">
        <v>100</v>
      </c>
      <c r="I6" s="41"/>
      <c r="J6" s="46"/>
      <c r="K6" s="43">
        <v>100</v>
      </c>
      <c r="L6" s="39">
        <f t="shared" si="1"/>
        <v>99.5</v>
      </c>
      <c r="M6" s="68">
        <f t="shared" si="2"/>
        <v>100</v>
      </c>
      <c r="N6" s="41">
        <f t="shared" si="3"/>
        <v>0</v>
      </c>
      <c r="O6" s="46">
        <f t="shared" si="4"/>
        <v>0</v>
      </c>
      <c r="P6" s="43">
        <f t="shared" si="5"/>
        <v>100</v>
      </c>
      <c r="U6" s="39">
        <v>99.5</v>
      </c>
      <c r="V6" s="68">
        <v>100</v>
      </c>
      <c r="W6" s="41"/>
      <c r="X6" s="46"/>
      <c r="Y6" s="43">
        <v>100</v>
      </c>
    </row>
    <row r="7" spans="1:25" x14ac:dyDescent="0.25">
      <c r="A7" s="108"/>
      <c r="B7" s="110"/>
      <c r="C7" s="114"/>
      <c r="D7" s="114"/>
      <c r="E7" s="114" t="s">
        <v>13</v>
      </c>
      <c r="F7" s="114"/>
      <c r="G7" s="53" t="s">
        <v>45</v>
      </c>
      <c r="H7" s="68">
        <v>100</v>
      </c>
      <c r="I7" s="41"/>
      <c r="J7" s="46"/>
      <c r="K7" s="43">
        <v>100</v>
      </c>
      <c r="L7" s="39">
        <f t="shared" si="1"/>
        <v>0</v>
      </c>
      <c r="M7" s="68">
        <f t="shared" si="2"/>
        <v>100</v>
      </c>
      <c r="N7" s="41">
        <f t="shared" si="3"/>
        <v>0</v>
      </c>
      <c r="O7" s="46">
        <f t="shared" si="4"/>
        <v>0</v>
      </c>
      <c r="P7" s="43">
        <f t="shared" si="5"/>
        <v>100</v>
      </c>
      <c r="U7" s="53" t="s">
        <v>45</v>
      </c>
      <c r="V7" s="68">
        <v>100</v>
      </c>
      <c r="W7" s="41"/>
      <c r="X7" s="46"/>
      <c r="Y7" s="43">
        <v>100</v>
      </c>
    </row>
    <row r="8" spans="1:25" x14ac:dyDescent="0.25">
      <c r="A8" s="108"/>
      <c r="B8" s="110"/>
      <c r="C8" s="114"/>
      <c r="D8" s="114"/>
      <c r="E8" s="114" t="s">
        <v>17</v>
      </c>
      <c r="F8" s="114"/>
      <c r="G8" s="39">
        <v>100</v>
      </c>
      <c r="H8" s="40"/>
      <c r="I8" s="41"/>
      <c r="J8" s="46"/>
      <c r="K8" s="43">
        <v>100</v>
      </c>
      <c r="L8" s="39">
        <f t="shared" si="1"/>
        <v>100</v>
      </c>
      <c r="M8" s="40">
        <f t="shared" si="2"/>
        <v>0</v>
      </c>
      <c r="N8" s="41">
        <f t="shared" si="3"/>
        <v>0</v>
      </c>
      <c r="O8" s="46">
        <f t="shared" si="4"/>
        <v>0</v>
      </c>
      <c r="P8" s="43">
        <f t="shared" si="5"/>
        <v>100</v>
      </c>
      <c r="U8" s="39">
        <v>100</v>
      </c>
      <c r="V8" s="40"/>
      <c r="W8" s="41"/>
      <c r="X8" s="46"/>
      <c r="Y8" s="43">
        <v>100</v>
      </c>
    </row>
    <row r="9" spans="1:25" x14ac:dyDescent="0.25">
      <c r="A9" s="108" t="s">
        <v>118</v>
      </c>
      <c r="B9" s="110">
        <v>3</v>
      </c>
      <c r="C9" s="114" t="s">
        <v>18</v>
      </c>
      <c r="D9" s="114" t="s">
        <v>19</v>
      </c>
      <c r="E9" s="113" t="s">
        <v>11</v>
      </c>
      <c r="F9" s="113"/>
      <c r="G9" s="44"/>
      <c r="H9" s="40"/>
      <c r="I9" s="41"/>
      <c r="J9" s="42">
        <v>100</v>
      </c>
      <c r="K9" s="47"/>
      <c r="L9" s="39">
        <f t="shared" si="1"/>
        <v>0</v>
      </c>
      <c r="M9" s="40">
        <f t="shared" si="2"/>
        <v>0</v>
      </c>
      <c r="N9" s="41">
        <f t="shared" si="3"/>
        <v>0</v>
      </c>
      <c r="O9" s="42">
        <f t="shared" si="4"/>
        <v>100</v>
      </c>
      <c r="P9" s="47">
        <f t="shared" si="5"/>
        <v>0</v>
      </c>
      <c r="U9" s="44"/>
      <c r="V9" s="40"/>
      <c r="W9" s="41"/>
      <c r="X9" s="42">
        <v>100</v>
      </c>
      <c r="Y9" s="47"/>
    </row>
    <row r="10" spans="1:25" x14ac:dyDescent="0.25">
      <c r="A10" s="108"/>
      <c r="B10" s="110"/>
      <c r="C10" s="114"/>
      <c r="D10" s="114"/>
      <c r="E10" s="111" t="s">
        <v>16</v>
      </c>
      <c r="F10" s="111"/>
      <c r="G10" s="39">
        <v>99.71</v>
      </c>
      <c r="H10" s="68">
        <v>100</v>
      </c>
      <c r="I10" s="41"/>
      <c r="J10" s="46"/>
      <c r="K10" s="43">
        <v>100</v>
      </c>
      <c r="L10" s="39">
        <f t="shared" si="1"/>
        <v>99.71</v>
      </c>
      <c r="M10" s="68">
        <f t="shared" si="2"/>
        <v>100</v>
      </c>
      <c r="N10" s="41">
        <f t="shared" si="3"/>
        <v>0</v>
      </c>
      <c r="O10" s="46">
        <f t="shared" si="4"/>
        <v>0</v>
      </c>
      <c r="P10" s="43">
        <f t="shared" si="5"/>
        <v>100</v>
      </c>
      <c r="U10" s="39">
        <v>99.71</v>
      </c>
      <c r="V10" s="68">
        <v>100</v>
      </c>
      <c r="W10" s="41"/>
      <c r="X10" s="46"/>
      <c r="Y10" s="43">
        <v>100</v>
      </c>
    </row>
    <row r="11" spans="1:25" x14ac:dyDescent="0.25">
      <c r="A11" s="108"/>
      <c r="B11" s="110"/>
      <c r="C11" s="114"/>
      <c r="D11" s="114"/>
      <c r="E11" s="114" t="s">
        <v>13</v>
      </c>
      <c r="F11" s="114"/>
      <c r="G11" s="53" t="s">
        <v>45</v>
      </c>
      <c r="H11" s="68">
        <v>100</v>
      </c>
      <c r="I11" s="41"/>
      <c r="J11" s="46"/>
      <c r="K11" s="43">
        <v>100</v>
      </c>
      <c r="L11" s="39">
        <f t="shared" si="1"/>
        <v>0</v>
      </c>
      <c r="M11" s="68">
        <f t="shared" si="2"/>
        <v>100</v>
      </c>
      <c r="N11" s="41">
        <f t="shared" si="3"/>
        <v>0</v>
      </c>
      <c r="O11" s="46">
        <f t="shared" si="4"/>
        <v>0</v>
      </c>
      <c r="P11" s="43">
        <f t="shared" si="5"/>
        <v>100</v>
      </c>
      <c r="U11" s="53" t="s">
        <v>45</v>
      </c>
      <c r="V11" s="68">
        <v>100</v>
      </c>
      <c r="W11" s="41"/>
      <c r="X11" s="46"/>
      <c r="Y11" s="43">
        <v>100</v>
      </c>
    </row>
    <row r="12" spans="1:25" x14ac:dyDescent="0.25">
      <c r="A12" s="108"/>
      <c r="B12" s="110"/>
      <c r="C12" s="114"/>
      <c r="D12" s="114"/>
      <c r="E12" s="114" t="s">
        <v>17</v>
      </c>
      <c r="F12" s="114"/>
      <c r="G12" s="39">
        <v>100</v>
      </c>
      <c r="H12" s="40"/>
      <c r="I12" s="41"/>
      <c r="J12" s="46"/>
      <c r="K12" s="43">
        <v>100</v>
      </c>
      <c r="L12" s="39">
        <f t="shared" si="1"/>
        <v>100</v>
      </c>
      <c r="M12" s="40">
        <f t="shared" si="2"/>
        <v>0</v>
      </c>
      <c r="N12" s="41">
        <f t="shared" si="3"/>
        <v>0</v>
      </c>
      <c r="O12" s="46">
        <f t="shared" si="4"/>
        <v>0</v>
      </c>
      <c r="P12" s="43">
        <f t="shared" si="5"/>
        <v>100</v>
      </c>
      <c r="U12" s="39">
        <v>100</v>
      </c>
      <c r="V12" s="40"/>
      <c r="W12" s="41"/>
      <c r="X12" s="46"/>
      <c r="Y12" s="43">
        <v>100</v>
      </c>
    </row>
    <row r="13" spans="1:25" x14ac:dyDescent="0.25">
      <c r="A13" s="108" t="s">
        <v>118</v>
      </c>
      <c r="B13" s="110">
        <v>4</v>
      </c>
      <c r="C13" s="117" t="s">
        <v>20</v>
      </c>
      <c r="D13" s="117" t="s">
        <v>21</v>
      </c>
      <c r="E13" s="49" t="s">
        <v>22</v>
      </c>
      <c r="F13" s="50" t="s">
        <v>23</v>
      </c>
      <c r="G13" s="44"/>
      <c r="H13" s="40"/>
      <c r="I13" s="41"/>
      <c r="J13" s="46"/>
      <c r="K13" s="47"/>
      <c r="L13" s="39">
        <f t="shared" si="1"/>
        <v>0</v>
      </c>
      <c r="M13" s="40">
        <f t="shared" si="2"/>
        <v>0</v>
      </c>
      <c r="N13" s="41">
        <f t="shared" si="3"/>
        <v>0</v>
      </c>
      <c r="O13" s="46">
        <f t="shared" si="4"/>
        <v>0</v>
      </c>
      <c r="P13" s="47">
        <f t="shared" si="5"/>
        <v>0</v>
      </c>
      <c r="U13" s="44"/>
      <c r="V13" s="40"/>
      <c r="W13" s="41"/>
      <c r="X13" s="46"/>
      <c r="Y13" s="47"/>
    </row>
    <row r="14" spans="1:25" ht="20.399999999999999" x14ac:dyDescent="0.25">
      <c r="A14" s="108"/>
      <c r="B14" s="110"/>
      <c r="C14" s="117"/>
      <c r="D14" s="117"/>
      <c r="E14" s="49" t="s">
        <v>12</v>
      </c>
      <c r="F14" s="50" t="s">
        <v>23</v>
      </c>
      <c r="G14" s="39">
        <v>33.49</v>
      </c>
      <c r="H14" s="51">
        <v>78.7</v>
      </c>
      <c r="I14" s="41"/>
      <c r="J14" s="46"/>
      <c r="K14" s="43">
        <v>139.28</v>
      </c>
      <c r="L14" s="39">
        <f t="shared" si="1"/>
        <v>33.49</v>
      </c>
      <c r="M14" s="51">
        <f t="shared" si="2"/>
        <v>78.7</v>
      </c>
      <c r="N14" s="41">
        <f t="shared" si="3"/>
        <v>0</v>
      </c>
      <c r="O14" s="46">
        <f t="shared" si="4"/>
        <v>0</v>
      </c>
      <c r="P14" s="43">
        <f t="shared" si="5"/>
        <v>139.28</v>
      </c>
      <c r="U14" s="39">
        <v>33.49</v>
      </c>
      <c r="V14" s="51" t="s">
        <v>46</v>
      </c>
      <c r="W14" s="41"/>
      <c r="X14" s="46"/>
      <c r="Y14" s="43">
        <v>139.28</v>
      </c>
    </row>
    <row r="15" spans="1:25" ht="20.399999999999999" x14ac:dyDescent="0.25">
      <c r="A15" s="108"/>
      <c r="B15" s="110"/>
      <c r="C15" s="117"/>
      <c r="D15" s="117"/>
      <c r="E15" s="54"/>
      <c r="F15" s="54"/>
      <c r="G15" s="44"/>
      <c r="H15" s="51">
        <v>78.7</v>
      </c>
      <c r="I15" s="41"/>
      <c r="J15" s="46"/>
      <c r="K15" s="47"/>
      <c r="L15" s="39">
        <f t="shared" si="1"/>
        <v>0</v>
      </c>
      <c r="M15" s="51">
        <f t="shared" si="2"/>
        <v>78.7</v>
      </c>
      <c r="N15" s="41">
        <f t="shared" si="3"/>
        <v>0</v>
      </c>
      <c r="O15" s="46">
        <f t="shared" si="4"/>
        <v>0</v>
      </c>
      <c r="P15" s="47">
        <f t="shared" si="5"/>
        <v>0</v>
      </c>
      <c r="U15" s="44"/>
      <c r="V15" s="51" t="s">
        <v>47</v>
      </c>
      <c r="W15" s="41"/>
      <c r="X15" s="46"/>
      <c r="Y15" s="47"/>
    </row>
    <row r="16" spans="1:25" ht="20.399999999999999" x14ac:dyDescent="0.25">
      <c r="A16" s="108"/>
      <c r="B16" s="110"/>
      <c r="C16" s="117"/>
      <c r="D16" s="117"/>
      <c r="E16" s="49" t="s">
        <v>13</v>
      </c>
      <c r="F16" s="50" t="s">
        <v>23</v>
      </c>
      <c r="G16" s="53" t="s">
        <v>45</v>
      </c>
      <c r="H16" s="51">
        <v>839.3</v>
      </c>
      <c r="I16" s="41"/>
      <c r="J16" s="46"/>
      <c r="K16" s="43">
        <v>5340.73</v>
      </c>
      <c r="L16" s="39">
        <f t="shared" si="1"/>
        <v>0</v>
      </c>
      <c r="M16" s="51">
        <f t="shared" si="2"/>
        <v>839.3</v>
      </c>
      <c r="N16" s="41">
        <f t="shared" si="3"/>
        <v>0</v>
      </c>
      <c r="O16" s="46">
        <f t="shared" si="4"/>
        <v>0</v>
      </c>
      <c r="P16" s="43">
        <f t="shared" si="5"/>
        <v>5340.73</v>
      </c>
      <c r="U16" s="53" t="s">
        <v>45</v>
      </c>
      <c r="V16" s="51" t="s">
        <v>48</v>
      </c>
      <c r="W16" s="41"/>
      <c r="X16" s="46"/>
      <c r="Y16" s="43">
        <v>5340.73</v>
      </c>
    </row>
    <row r="17" spans="1:25" ht="20.399999999999999" x14ac:dyDescent="0.25">
      <c r="A17" s="108"/>
      <c r="B17" s="110"/>
      <c r="C17" s="117"/>
      <c r="D17" s="117"/>
      <c r="E17" s="54"/>
      <c r="F17" s="54"/>
      <c r="G17" s="44"/>
      <c r="H17" s="51">
        <v>839.3</v>
      </c>
      <c r="I17" s="41"/>
      <c r="J17" s="46"/>
      <c r="K17" s="47"/>
      <c r="L17" s="39">
        <f t="shared" si="1"/>
        <v>0</v>
      </c>
      <c r="M17" s="51">
        <f t="shared" si="2"/>
        <v>839.3</v>
      </c>
      <c r="N17" s="41">
        <f t="shared" si="3"/>
        <v>0</v>
      </c>
      <c r="O17" s="46">
        <f t="shared" si="4"/>
        <v>0</v>
      </c>
      <c r="P17" s="47">
        <f t="shared" si="5"/>
        <v>0</v>
      </c>
      <c r="U17" s="44"/>
      <c r="V17" s="51" t="s">
        <v>49</v>
      </c>
      <c r="W17" s="41"/>
      <c r="X17" s="46"/>
      <c r="Y17" s="47"/>
    </row>
    <row r="18" spans="1:25" x14ac:dyDescent="0.25">
      <c r="A18" s="108"/>
      <c r="B18" s="110"/>
      <c r="C18" s="117"/>
      <c r="D18" s="117"/>
      <c r="E18" s="49" t="s">
        <v>17</v>
      </c>
      <c r="F18" s="50" t="s">
        <v>24</v>
      </c>
      <c r="G18" s="39">
        <v>5774.67</v>
      </c>
      <c r="H18" s="40"/>
      <c r="I18" s="41"/>
      <c r="J18" s="42">
        <v>5444.83</v>
      </c>
      <c r="K18" s="43">
        <v>7623.71</v>
      </c>
      <c r="L18" s="39">
        <f t="shared" si="1"/>
        <v>5774.67</v>
      </c>
      <c r="M18" s="40">
        <f t="shared" si="2"/>
        <v>0</v>
      </c>
      <c r="N18" s="41">
        <f t="shared" si="3"/>
        <v>0</v>
      </c>
      <c r="O18" s="42">
        <f t="shared" si="4"/>
        <v>5444.83</v>
      </c>
      <c r="P18" s="43">
        <f t="shared" si="5"/>
        <v>7623.71</v>
      </c>
      <c r="U18" s="39">
        <v>5774.67</v>
      </c>
      <c r="V18" s="40"/>
      <c r="W18" s="41"/>
      <c r="X18" s="42">
        <v>5444.83</v>
      </c>
      <c r="Y18" s="43">
        <v>7623.71</v>
      </c>
    </row>
    <row r="19" spans="1:25" x14ac:dyDescent="0.25">
      <c r="A19" s="108" t="s">
        <v>118</v>
      </c>
      <c r="B19" s="110">
        <v>5</v>
      </c>
      <c r="C19" s="117" t="s">
        <v>25</v>
      </c>
      <c r="D19" s="117" t="s">
        <v>26</v>
      </c>
      <c r="E19" s="49" t="s">
        <v>22</v>
      </c>
      <c r="F19" s="50" t="s">
        <v>23</v>
      </c>
      <c r="G19" s="44"/>
      <c r="H19" s="40"/>
      <c r="I19" s="41"/>
      <c r="J19" s="46"/>
      <c r="K19" s="47"/>
      <c r="L19" s="39">
        <f t="shared" si="1"/>
        <v>0</v>
      </c>
      <c r="M19" s="40">
        <f t="shared" si="2"/>
        <v>0</v>
      </c>
      <c r="N19" s="41">
        <f t="shared" si="3"/>
        <v>0</v>
      </c>
      <c r="O19" s="46">
        <f t="shared" si="4"/>
        <v>0</v>
      </c>
      <c r="P19" s="47">
        <f t="shared" si="5"/>
        <v>0</v>
      </c>
      <c r="U19" s="44"/>
      <c r="V19" s="40"/>
      <c r="W19" s="41"/>
      <c r="X19" s="46"/>
      <c r="Y19" s="47"/>
    </row>
    <row r="20" spans="1:25" ht="20.399999999999999" x14ac:dyDescent="0.25">
      <c r="A20" s="108"/>
      <c r="B20" s="110"/>
      <c r="C20" s="117"/>
      <c r="D20" s="117"/>
      <c r="E20" s="49" t="s">
        <v>12</v>
      </c>
      <c r="F20" s="50" t="s">
        <v>23</v>
      </c>
      <c r="G20" s="39">
        <v>127.79</v>
      </c>
      <c r="H20" s="51">
        <v>116.9</v>
      </c>
      <c r="I20" s="41"/>
      <c r="J20" s="46"/>
      <c r="K20" s="43">
        <v>173.28</v>
      </c>
      <c r="L20" s="39">
        <f t="shared" si="1"/>
        <v>127.79</v>
      </c>
      <c r="M20" s="51">
        <f t="shared" si="2"/>
        <v>116.9</v>
      </c>
      <c r="N20" s="41">
        <f t="shared" si="3"/>
        <v>0</v>
      </c>
      <c r="O20" s="46">
        <f t="shared" si="4"/>
        <v>0</v>
      </c>
      <c r="P20" s="43">
        <f t="shared" si="5"/>
        <v>173.28</v>
      </c>
      <c r="U20" s="39">
        <v>127.79</v>
      </c>
      <c r="V20" s="51" t="s">
        <v>50</v>
      </c>
      <c r="W20" s="41"/>
      <c r="X20" s="46"/>
      <c r="Y20" s="43">
        <v>173.28</v>
      </c>
    </row>
    <row r="21" spans="1:25" ht="20.399999999999999" x14ac:dyDescent="0.25">
      <c r="A21" s="108"/>
      <c r="B21" s="110"/>
      <c r="C21" s="117"/>
      <c r="D21" s="117"/>
      <c r="E21" s="54"/>
      <c r="F21" s="54"/>
      <c r="G21" s="44"/>
      <c r="H21" s="51">
        <v>116.9</v>
      </c>
      <c r="I21" s="41"/>
      <c r="J21" s="46"/>
      <c r="K21" s="47"/>
      <c r="L21" s="39">
        <f t="shared" si="1"/>
        <v>0</v>
      </c>
      <c r="M21" s="51">
        <f t="shared" si="2"/>
        <v>116.9</v>
      </c>
      <c r="N21" s="41">
        <f t="shared" si="3"/>
        <v>0</v>
      </c>
      <c r="O21" s="46">
        <f t="shared" si="4"/>
        <v>0</v>
      </c>
      <c r="P21" s="47">
        <f t="shared" si="5"/>
        <v>0</v>
      </c>
      <c r="U21" s="44"/>
      <c r="V21" s="51" t="s">
        <v>51</v>
      </c>
      <c r="W21" s="41"/>
      <c r="X21" s="46"/>
      <c r="Y21" s="47"/>
    </row>
    <row r="22" spans="1:25" ht="20.399999999999999" x14ac:dyDescent="0.25">
      <c r="A22" s="108"/>
      <c r="B22" s="110"/>
      <c r="C22" s="117"/>
      <c r="D22" s="117"/>
      <c r="E22" s="49" t="s">
        <v>13</v>
      </c>
      <c r="F22" s="50" t="s">
        <v>23</v>
      </c>
      <c r="G22" s="53" t="s">
        <v>45</v>
      </c>
      <c r="H22" s="51">
        <v>1965.2</v>
      </c>
      <c r="I22" s="41"/>
      <c r="J22" s="46"/>
      <c r="K22" s="43">
        <v>7071.06</v>
      </c>
      <c r="L22" s="39">
        <f t="shared" si="1"/>
        <v>0</v>
      </c>
      <c r="M22" s="51">
        <f t="shared" si="2"/>
        <v>1965.2</v>
      </c>
      <c r="N22" s="41">
        <f t="shared" si="3"/>
        <v>0</v>
      </c>
      <c r="O22" s="46">
        <f t="shared" si="4"/>
        <v>0</v>
      </c>
      <c r="P22" s="43">
        <f t="shared" si="5"/>
        <v>7071.06</v>
      </c>
      <c r="U22" s="53" t="s">
        <v>45</v>
      </c>
      <c r="V22" s="51" t="s">
        <v>52</v>
      </c>
      <c r="W22" s="41"/>
      <c r="X22" s="46"/>
      <c r="Y22" s="43">
        <v>7071.06</v>
      </c>
    </row>
    <row r="23" spans="1:25" ht="20.399999999999999" x14ac:dyDescent="0.25">
      <c r="A23" s="108"/>
      <c r="B23" s="110"/>
      <c r="C23" s="117"/>
      <c r="D23" s="117"/>
      <c r="E23" s="54"/>
      <c r="F23" s="54"/>
      <c r="G23" s="44"/>
      <c r="H23" s="51">
        <v>1965.2</v>
      </c>
      <c r="I23" s="41"/>
      <c r="J23" s="46"/>
      <c r="K23" s="47"/>
      <c r="L23" s="39">
        <f t="shared" si="1"/>
        <v>0</v>
      </c>
      <c r="M23" s="51">
        <f t="shared" si="2"/>
        <v>1965.2</v>
      </c>
      <c r="N23" s="41">
        <f t="shared" si="3"/>
        <v>0</v>
      </c>
      <c r="O23" s="46">
        <f t="shared" si="4"/>
        <v>0</v>
      </c>
      <c r="P23" s="47">
        <f t="shared" si="5"/>
        <v>0</v>
      </c>
      <c r="U23" s="44"/>
      <c r="V23" s="51" t="s">
        <v>53</v>
      </c>
      <c r="W23" s="41"/>
      <c r="X23" s="46"/>
      <c r="Y23" s="47"/>
    </row>
    <row r="24" spans="1:25" x14ac:dyDescent="0.25">
      <c r="A24" s="108"/>
      <c r="B24" s="54"/>
      <c r="C24" s="54"/>
      <c r="D24" s="54"/>
      <c r="E24" s="49" t="s">
        <v>17</v>
      </c>
      <c r="F24" s="50" t="s">
        <v>24</v>
      </c>
      <c r="G24" s="39">
        <v>8854.33</v>
      </c>
      <c r="H24" s="40"/>
      <c r="I24" s="41"/>
      <c r="J24" s="42">
        <v>18290.22</v>
      </c>
      <c r="K24" s="43">
        <v>11108.22</v>
      </c>
      <c r="L24" s="39">
        <f t="shared" si="1"/>
        <v>8854.33</v>
      </c>
      <c r="M24" s="40">
        <f t="shared" si="2"/>
        <v>0</v>
      </c>
      <c r="N24" s="41">
        <f t="shared" si="3"/>
        <v>0</v>
      </c>
      <c r="O24" s="42">
        <f t="shared" si="4"/>
        <v>18290.22</v>
      </c>
      <c r="P24" s="43">
        <f t="shared" si="5"/>
        <v>11108.22</v>
      </c>
      <c r="U24" s="39">
        <v>8854.33</v>
      </c>
      <c r="V24" s="40"/>
      <c r="W24" s="41"/>
      <c r="X24" s="42">
        <v>18290.22</v>
      </c>
      <c r="Y24" s="43">
        <v>11108.22</v>
      </c>
    </row>
    <row r="25" spans="1:25" x14ac:dyDescent="0.25">
      <c r="A25" s="108" t="s">
        <v>118</v>
      </c>
      <c r="B25" s="110">
        <v>6</v>
      </c>
      <c r="C25" s="114" t="s">
        <v>27</v>
      </c>
      <c r="D25" s="113" t="s">
        <v>28</v>
      </c>
      <c r="E25" s="113" t="s">
        <v>11</v>
      </c>
      <c r="F25" s="113"/>
      <c r="G25" s="44"/>
      <c r="H25" s="40"/>
      <c r="I25" s="41"/>
      <c r="J25" s="42">
        <v>62.53</v>
      </c>
      <c r="K25" s="47"/>
      <c r="L25" s="39">
        <f t="shared" si="1"/>
        <v>0</v>
      </c>
      <c r="M25" s="40">
        <f t="shared" si="2"/>
        <v>0</v>
      </c>
      <c r="N25" s="41">
        <f t="shared" si="3"/>
        <v>0</v>
      </c>
      <c r="O25" s="42">
        <f t="shared" si="4"/>
        <v>62.53</v>
      </c>
      <c r="P25" s="47">
        <f t="shared" si="5"/>
        <v>0</v>
      </c>
      <c r="U25" s="44"/>
      <c r="V25" s="40"/>
      <c r="W25" s="41"/>
      <c r="X25" s="42">
        <v>62.53</v>
      </c>
      <c r="Y25" s="47"/>
    </row>
    <row r="26" spans="1:25" x14ac:dyDescent="0.25">
      <c r="A26" s="108"/>
      <c r="B26" s="110"/>
      <c r="C26" s="114"/>
      <c r="D26" s="113"/>
      <c r="E26" s="111" t="s">
        <v>16</v>
      </c>
      <c r="F26" s="111"/>
      <c r="G26" s="39">
        <v>148.4</v>
      </c>
      <c r="H26" s="68">
        <v>191.3</v>
      </c>
      <c r="I26" s="41"/>
      <c r="J26" s="46"/>
      <c r="K26" s="43">
        <v>80.75</v>
      </c>
      <c r="L26" s="39">
        <f t="shared" si="1"/>
        <v>148.4</v>
      </c>
      <c r="M26" s="68">
        <f t="shared" si="2"/>
        <v>191.3</v>
      </c>
      <c r="N26" s="41">
        <f t="shared" si="3"/>
        <v>0</v>
      </c>
      <c r="O26" s="46">
        <f t="shared" si="4"/>
        <v>0</v>
      </c>
      <c r="P26" s="43">
        <f t="shared" si="5"/>
        <v>80.75</v>
      </c>
      <c r="U26" s="39">
        <v>148.4</v>
      </c>
      <c r="V26" s="68">
        <v>191.3</v>
      </c>
      <c r="W26" s="41"/>
      <c r="X26" s="46"/>
      <c r="Y26" s="43">
        <v>80.75</v>
      </c>
    </row>
    <row r="27" spans="1:25" x14ac:dyDescent="0.25">
      <c r="A27" s="108"/>
      <c r="B27" s="110"/>
      <c r="C27" s="114"/>
      <c r="D27" s="113"/>
      <c r="E27" s="114" t="s">
        <v>13</v>
      </c>
      <c r="F27" s="114"/>
      <c r="G27" s="53" t="s">
        <v>45</v>
      </c>
      <c r="H27" s="68">
        <v>97.6</v>
      </c>
      <c r="I27" s="41"/>
      <c r="J27" s="46"/>
      <c r="K27" s="43">
        <v>37.17</v>
      </c>
      <c r="L27" s="39">
        <f t="shared" si="1"/>
        <v>0</v>
      </c>
      <c r="M27" s="68">
        <f t="shared" si="2"/>
        <v>97.6</v>
      </c>
      <c r="N27" s="41">
        <f t="shared" si="3"/>
        <v>0</v>
      </c>
      <c r="O27" s="46">
        <f t="shared" si="4"/>
        <v>0</v>
      </c>
      <c r="P27" s="43">
        <f t="shared" si="5"/>
        <v>37.17</v>
      </c>
      <c r="U27" s="53" t="s">
        <v>45</v>
      </c>
      <c r="V27" s="68">
        <v>97.6</v>
      </c>
      <c r="W27" s="41"/>
      <c r="X27" s="46"/>
      <c r="Y27" s="43">
        <v>37.17</v>
      </c>
    </row>
    <row r="28" spans="1:25" x14ac:dyDescent="0.25">
      <c r="A28" s="108"/>
      <c r="B28" s="110"/>
      <c r="C28" s="114"/>
      <c r="D28" s="113"/>
      <c r="E28" s="114" t="s">
        <v>17</v>
      </c>
      <c r="F28" s="114"/>
      <c r="G28" s="39">
        <v>44.5</v>
      </c>
      <c r="H28" s="40"/>
      <c r="I28" s="41"/>
      <c r="J28" s="46"/>
      <c r="K28" s="43">
        <v>25.83</v>
      </c>
      <c r="L28" s="39">
        <f t="shared" si="1"/>
        <v>44.5</v>
      </c>
      <c r="M28" s="40">
        <f t="shared" si="2"/>
        <v>0</v>
      </c>
      <c r="N28" s="41">
        <f t="shared" si="3"/>
        <v>0</v>
      </c>
      <c r="O28" s="46">
        <f t="shared" si="4"/>
        <v>0</v>
      </c>
      <c r="P28" s="43">
        <f t="shared" si="5"/>
        <v>25.83</v>
      </c>
      <c r="U28" s="39">
        <v>44.5</v>
      </c>
      <c r="V28" s="40"/>
      <c r="W28" s="41"/>
      <c r="X28" s="46"/>
      <c r="Y28" s="43">
        <v>25.83</v>
      </c>
    </row>
    <row r="29" spans="1:25" x14ac:dyDescent="0.25">
      <c r="A29" s="108" t="s">
        <v>118</v>
      </c>
      <c r="B29" s="110">
        <v>7</v>
      </c>
      <c r="C29" s="115" t="s">
        <v>29</v>
      </c>
      <c r="D29" s="112" t="s">
        <v>30</v>
      </c>
      <c r="E29" s="113" t="s">
        <v>11</v>
      </c>
      <c r="F29" s="113"/>
      <c r="G29" s="44"/>
      <c r="H29" s="40"/>
      <c r="I29" s="41"/>
      <c r="J29" s="42">
        <v>99.83</v>
      </c>
      <c r="K29" s="47"/>
      <c r="L29" s="39">
        <f t="shared" si="1"/>
        <v>0</v>
      </c>
      <c r="M29" s="40">
        <f t="shared" si="2"/>
        <v>0</v>
      </c>
      <c r="N29" s="41">
        <f t="shared" si="3"/>
        <v>0</v>
      </c>
      <c r="O29" s="42">
        <f t="shared" si="4"/>
        <v>99.83</v>
      </c>
      <c r="P29" s="47">
        <f t="shared" si="5"/>
        <v>0</v>
      </c>
      <c r="U29" s="44"/>
      <c r="V29" s="40"/>
      <c r="W29" s="41"/>
      <c r="X29" s="42">
        <v>99.83</v>
      </c>
      <c r="Y29" s="47"/>
    </row>
    <row r="30" spans="1:25" x14ac:dyDescent="0.25">
      <c r="A30" s="108"/>
      <c r="B30" s="110"/>
      <c r="C30" s="115"/>
      <c r="D30" s="112"/>
      <c r="E30" s="111" t="s">
        <v>16</v>
      </c>
      <c r="F30" s="111"/>
      <c r="G30" s="39">
        <v>99.94</v>
      </c>
      <c r="H30" s="68">
        <v>98.88</v>
      </c>
      <c r="I30" s="41"/>
      <c r="J30" s="46"/>
      <c r="K30" s="43">
        <v>98.66</v>
      </c>
      <c r="L30" s="39">
        <f t="shared" si="1"/>
        <v>99.94</v>
      </c>
      <c r="M30" s="68">
        <f t="shared" si="2"/>
        <v>98.88</v>
      </c>
      <c r="N30" s="41">
        <f t="shared" si="3"/>
        <v>0</v>
      </c>
      <c r="O30" s="46">
        <f t="shared" si="4"/>
        <v>0</v>
      </c>
      <c r="P30" s="43">
        <f t="shared" si="5"/>
        <v>98.66</v>
      </c>
      <c r="U30" s="39">
        <v>99.94</v>
      </c>
      <c r="V30" s="68">
        <v>98.88</v>
      </c>
      <c r="W30" s="41"/>
      <c r="X30" s="46"/>
      <c r="Y30" s="43">
        <v>98.66</v>
      </c>
    </row>
    <row r="31" spans="1:25" x14ac:dyDescent="0.25">
      <c r="A31" s="108"/>
      <c r="B31" s="110"/>
      <c r="C31" s="115"/>
      <c r="D31" s="112"/>
      <c r="E31" s="114" t="s">
        <v>13</v>
      </c>
      <c r="F31" s="114"/>
      <c r="G31" s="53" t="s">
        <v>45</v>
      </c>
      <c r="H31" s="68">
        <v>97.61</v>
      </c>
      <c r="I31" s="41"/>
      <c r="J31" s="46"/>
      <c r="K31" s="43">
        <v>96.62</v>
      </c>
      <c r="L31" s="39">
        <f t="shared" si="1"/>
        <v>0</v>
      </c>
      <c r="M31" s="68">
        <f t="shared" si="2"/>
        <v>97.61</v>
      </c>
      <c r="N31" s="41">
        <f t="shared" si="3"/>
        <v>0</v>
      </c>
      <c r="O31" s="46">
        <f t="shared" si="4"/>
        <v>0</v>
      </c>
      <c r="P31" s="43">
        <f t="shared" si="5"/>
        <v>96.62</v>
      </c>
      <c r="U31" s="53" t="s">
        <v>45</v>
      </c>
      <c r="V31" s="68">
        <v>97.61</v>
      </c>
      <c r="W31" s="41"/>
      <c r="X31" s="46"/>
      <c r="Y31" s="43">
        <v>96.62</v>
      </c>
    </row>
    <row r="32" spans="1:25" x14ac:dyDescent="0.25">
      <c r="A32" s="108"/>
      <c r="B32" s="110"/>
      <c r="C32" s="115"/>
      <c r="D32" s="112"/>
      <c r="E32" s="114" t="s">
        <v>17</v>
      </c>
      <c r="F32" s="114"/>
      <c r="G32" s="39">
        <v>99.36</v>
      </c>
      <c r="H32" s="40"/>
      <c r="I32" s="41"/>
      <c r="J32" s="46"/>
      <c r="K32" s="43">
        <v>95.98</v>
      </c>
      <c r="L32" s="39">
        <f t="shared" si="1"/>
        <v>99.36</v>
      </c>
      <c r="M32" s="40">
        <f t="shared" si="2"/>
        <v>0</v>
      </c>
      <c r="N32" s="41">
        <f t="shared" si="3"/>
        <v>0</v>
      </c>
      <c r="O32" s="46">
        <f t="shared" si="4"/>
        <v>0</v>
      </c>
      <c r="P32" s="43">
        <f t="shared" si="5"/>
        <v>95.98</v>
      </c>
      <c r="U32" s="39">
        <v>99.36</v>
      </c>
      <c r="V32" s="40"/>
      <c r="W32" s="41"/>
      <c r="X32" s="46"/>
      <c r="Y32" s="43">
        <v>95.98</v>
      </c>
    </row>
    <row r="33" spans="1:25" x14ac:dyDescent="0.25">
      <c r="A33" s="108" t="s">
        <v>118</v>
      </c>
      <c r="B33" s="110">
        <v>8</v>
      </c>
      <c r="C33" s="111" t="s">
        <v>31</v>
      </c>
      <c r="D33" s="112" t="s">
        <v>32</v>
      </c>
      <c r="E33" s="113" t="s">
        <v>11</v>
      </c>
      <c r="F33" s="113"/>
      <c r="G33" s="44"/>
      <c r="H33" s="40"/>
      <c r="I33" s="41"/>
      <c r="J33" s="42">
        <v>0.44</v>
      </c>
      <c r="K33" s="47"/>
      <c r="L33" s="39">
        <f t="shared" si="1"/>
        <v>0</v>
      </c>
      <c r="M33" s="40">
        <f t="shared" si="2"/>
        <v>0</v>
      </c>
      <c r="N33" s="41">
        <f t="shared" si="3"/>
        <v>0</v>
      </c>
      <c r="O33" s="42">
        <f t="shared" si="4"/>
        <v>0.44</v>
      </c>
      <c r="P33" s="47">
        <f t="shared" si="5"/>
        <v>0</v>
      </c>
      <c r="U33" s="44"/>
      <c r="V33" s="40"/>
      <c r="W33" s="41"/>
      <c r="X33" s="42">
        <v>0.44</v>
      </c>
      <c r="Y33" s="47"/>
    </row>
    <row r="34" spans="1:25" x14ac:dyDescent="0.25">
      <c r="A34" s="108"/>
      <c r="B34" s="110"/>
      <c r="C34" s="111"/>
      <c r="D34" s="112"/>
      <c r="E34" s="111" t="s">
        <v>16</v>
      </c>
      <c r="F34" s="111"/>
      <c r="G34" s="39">
        <v>4.3600000000000003</v>
      </c>
      <c r="H34" s="40"/>
      <c r="I34" s="41"/>
      <c r="J34" s="46"/>
      <c r="K34" s="43">
        <v>2.4500000000000002</v>
      </c>
      <c r="L34" s="39">
        <f t="shared" si="1"/>
        <v>4.3600000000000003</v>
      </c>
      <c r="M34" s="40">
        <f t="shared" si="2"/>
        <v>0</v>
      </c>
      <c r="N34" s="41">
        <f t="shared" si="3"/>
        <v>0</v>
      </c>
      <c r="O34" s="46">
        <f t="shared" si="4"/>
        <v>0</v>
      </c>
      <c r="P34" s="43">
        <f t="shared" si="5"/>
        <v>2.4500000000000002</v>
      </c>
      <c r="U34" s="39">
        <v>4.3600000000000003</v>
      </c>
      <c r="V34" s="40"/>
      <c r="W34" s="41"/>
      <c r="X34" s="46"/>
      <c r="Y34" s="43">
        <v>2.4500000000000002</v>
      </c>
    </row>
    <row r="35" spans="1:25" x14ac:dyDescent="0.25">
      <c r="A35" s="108"/>
      <c r="B35" s="110"/>
      <c r="C35" s="111"/>
      <c r="D35" s="112"/>
      <c r="E35" s="114" t="s">
        <v>13</v>
      </c>
      <c r="F35" s="114"/>
      <c r="G35" s="53" t="s">
        <v>45</v>
      </c>
      <c r="H35" s="68">
        <v>0.9</v>
      </c>
      <c r="I35" s="41"/>
      <c r="J35" s="46"/>
      <c r="K35" s="43">
        <v>1.21</v>
      </c>
      <c r="L35" s="39">
        <f t="shared" si="1"/>
        <v>0</v>
      </c>
      <c r="M35" s="68">
        <f t="shared" si="2"/>
        <v>0.9</v>
      </c>
      <c r="N35" s="41">
        <f t="shared" si="3"/>
        <v>0</v>
      </c>
      <c r="O35" s="46">
        <f t="shared" si="4"/>
        <v>0</v>
      </c>
      <c r="P35" s="43">
        <f t="shared" si="5"/>
        <v>1.21</v>
      </c>
      <c r="U35" s="53" t="s">
        <v>45</v>
      </c>
      <c r="V35" s="68">
        <v>0.9</v>
      </c>
      <c r="W35" s="41"/>
      <c r="X35" s="46"/>
      <c r="Y35" s="43">
        <v>1.21</v>
      </c>
    </row>
    <row r="36" spans="1:25" x14ac:dyDescent="0.25">
      <c r="A36" s="108"/>
      <c r="B36" s="110"/>
      <c r="C36" s="111"/>
      <c r="D36" s="112"/>
      <c r="E36" s="114" t="s">
        <v>17</v>
      </c>
      <c r="F36" s="114"/>
      <c r="G36" s="39">
        <v>0.63</v>
      </c>
      <c r="H36" s="40"/>
      <c r="I36" s="41"/>
      <c r="J36" s="46"/>
      <c r="K36" s="43">
        <v>0.38</v>
      </c>
      <c r="L36" s="39">
        <f t="shared" si="1"/>
        <v>0.63</v>
      </c>
      <c r="M36" s="40">
        <f t="shared" si="2"/>
        <v>0</v>
      </c>
      <c r="N36" s="41">
        <f t="shared" si="3"/>
        <v>0</v>
      </c>
      <c r="O36" s="46">
        <f t="shared" si="4"/>
        <v>0</v>
      </c>
      <c r="P36" s="43">
        <f t="shared" si="5"/>
        <v>0.38</v>
      </c>
      <c r="U36" s="39">
        <v>0.63</v>
      </c>
      <c r="V36" s="40"/>
      <c r="W36" s="41"/>
      <c r="X36" s="46"/>
      <c r="Y36" s="43">
        <v>0.38</v>
      </c>
    </row>
  </sheetData>
  <mergeCells count="56">
    <mergeCell ref="B2:B4"/>
    <mergeCell ref="C2:C4"/>
    <mergeCell ref="D2:D4"/>
    <mergeCell ref="E2:F2"/>
    <mergeCell ref="E3:F3"/>
    <mergeCell ref="E4:F4"/>
    <mergeCell ref="B5:B8"/>
    <mergeCell ref="C5:C8"/>
    <mergeCell ref="D5:D8"/>
    <mergeCell ref="E5:F5"/>
    <mergeCell ref="E6:F6"/>
    <mergeCell ref="E7:F7"/>
    <mergeCell ref="E8:F8"/>
    <mergeCell ref="B9:B12"/>
    <mergeCell ref="C9:C12"/>
    <mergeCell ref="D9:D12"/>
    <mergeCell ref="E9:F9"/>
    <mergeCell ref="E10:F10"/>
    <mergeCell ref="E11:F11"/>
    <mergeCell ref="E12:F12"/>
    <mergeCell ref="B13:B18"/>
    <mergeCell ref="C13:C18"/>
    <mergeCell ref="D13:D18"/>
    <mergeCell ref="B19:B23"/>
    <mergeCell ref="C19:C23"/>
    <mergeCell ref="D19:D23"/>
    <mergeCell ref="B25:B28"/>
    <mergeCell ref="C25:C28"/>
    <mergeCell ref="D25:D28"/>
    <mergeCell ref="E25:F25"/>
    <mergeCell ref="E26:F26"/>
    <mergeCell ref="E27:F27"/>
    <mergeCell ref="E28:F28"/>
    <mergeCell ref="B29:B32"/>
    <mergeCell ref="C29:C32"/>
    <mergeCell ref="D29:D32"/>
    <mergeCell ref="E29:F29"/>
    <mergeCell ref="E30:F30"/>
    <mergeCell ref="E31:F31"/>
    <mergeCell ref="E32:F32"/>
    <mergeCell ref="A25:A28"/>
    <mergeCell ref="A29:A32"/>
    <mergeCell ref="A33:A36"/>
    <mergeCell ref="E1:F1"/>
    <mergeCell ref="A2:A4"/>
    <mergeCell ref="A5:A8"/>
    <mergeCell ref="A9:A12"/>
    <mergeCell ref="A13:A18"/>
    <mergeCell ref="A19:A24"/>
    <mergeCell ref="B33:B36"/>
    <mergeCell ref="C33:C36"/>
    <mergeCell ref="D33:D36"/>
    <mergeCell ref="E33:F33"/>
    <mergeCell ref="E34:F34"/>
    <mergeCell ref="E35:F35"/>
    <mergeCell ref="E36:F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31"/>
  <sheetViews>
    <sheetView workbookViewId="0">
      <selection activeCell="L3" sqref="L3"/>
    </sheetView>
  </sheetViews>
  <sheetFormatPr defaultRowHeight="13.2" x14ac:dyDescent="0.25"/>
  <cols>
    <col min="1" max="1" width="13.77734375" customWidth="1"/>
  </cols>
  <sheetData>
    <row r="1" spans="1:16" ht="20.399999999999999" x14ac:dyDescent="0.25">
      <c r="A1" s="31" t="s">
        <v>115</v>
      </c>
      <c r="B1" s="32" t="s">
        <v>0</v>
      </c>
      <c r="C1" s="33" t="s">
        <v>1</v>
      </c>
      <c r="D1" s="33" t="s">
        <v>2</v>
      </c>
      <c r="E1" s="109" t="s">
        <v>3</v>
      </c>
      <c r="F1" s="109"/>
      <c r="G1" s="34" t="s">
        <v>4</v>
      </c>
      <c r="H1" s="35" t="s">
        <v>5</v>
      </c>
      <c r="I1" s="36" t="s">
        <v>6</v>
      </c>
      <c r="J1" s="37" t="s">
        <v>7</v>
      </c>
      <c r="K1" s="38" t="s">
        <v>8</v>
      </c>
      <c r="L1" s="34" t="s">
        <v>4</v>
      </c>
      <c r="M1" s="35" t="s">
        <v>5</v>
      </c>
      <c r="N1" s="36" t="s">
        <v>6</v>
      </c>
      <c r="O1" s="37" t="s">
        <v>7</v>
      </c>
      <c r="P1" s="38" t="s">
        <v>8</v>
      </c>
    </row>
    <row r="2" spans="1:16" ht="13.2" customHeight="1" x14ac:dyDescent="0.25">
      <c r="A2" s="107" t="s">
        <v>119</v>
      </c>
      <c r="B2" s="110">
        <v>1</v>
      </c>
      <c r="C2" s="118" t="s">
        <v>9</v>
      </c>
      <c r="D2" s="118" t="s">
        <v>54</v>
      </c>
      <c r="E2" s="113" t="s">
        <v>11</v>
      </c>
      <c r="F2" s="113"/>
      <c r="G2" s="44"/>
      <c r="H2" s="45">
        <v>100</v>
      </c>
      <c r="I2" s="41"/>
      <c r="J2" s="46"/>
      <c r="K2" s="47"/>
      <c r="L2" s="44">
        <f>IF(OR(G2="NA",G2=0),0,(1*G2))</f>
        <v>0</v>
      </c>
      <c r="M2" s="68">
        <f t="shared" ref="M2:P2" si="0">IF(OR(H2="NA",H2=0),0,(1*H2))</f>
        <v>100</v>
      </c>
      <c r="N2" s="41">
        <f t="shared" si="0"/>
        <v>0</v>
      </c>
      <c r="O2" s="46">
        <f t="shared" si="0"/>
        <v>0</v>
      </c>
      <c r="P2" s="47">
        <f t="shared" si="0"/>
        <v>0</v>
      </c>
    </row>
    <row r="3" spans="1:16" x14ac:dyDescent="0.25">
      <c r="A3" s="108"/>
      <c r="B3" s="110"/>
      <c r="C3" s="118"/>
      <c r="D3" s="118"/>
      <c r="E3" s="114" t="s">
        <v>13</v>
      </c>
      <c r="F3" s="114"/>
      <c r="G3" s="44"/>
      <c r="H3" s="40"/>
      <c r="I3" s="41"/>
      <c r="J3" s="46"/>
      <c r="K3" s="47"/>
      <c r="L3" s="44">
        <f t="shared" ref="L3:L31" si="1">IF(OR(G3="NA",G3=0),0,(1*G3))</f>
        <v>0</v>
      </c>
      <c r="M3" s="40">
        <f t="shared" ref="M3:M31" si="2">IF(OR(H3="NA",H3=0),0,(1*H3))</f>
        <v>0</v>
      </c>
      <c r="N3" s="41">
        <f t="shared" ref="N3:N31" si="3">IF(OR(I3="NA",I3=0),0,(1*I3))</f>
        <v>0</v>
      </c>
      <c r="O3" s="46">
        <f t="shared" ref="O3:O31" si="4">IF(OR(J3="NA",J3=0),0,(1*J3))</f>
        <v>0</v>
      </c>
      <c r="P3" s="47">
        <f t="shared" ref="P3:P31" si="5">IF(OR(K3="NA",K3=0),0,(1*K3))</f>
        <v>0</v>
      </c>
    </row>
    <row r="4" spans="1:16" ht="13.2" customHeight="1" x14ac:dyDescent="0.25">
      <c r="A4" s="108" t="s">
        <v>119</v>
      </c>
      <c r="B4" s="110">
        <v>2</v>
      </c>
      <c r="C4" s="114" t="s">
        <v>14</v>
      </c>
      <c r="D4" s="114" t="s">
        <v>15</v>
      </c>
      <c r="E4" s="113" t="s">
        <v>11</v>
      </c>
      <c r="F4" s="113"/>
      <c r="G4" s="44"/>
      <c r="H4" s="40"/>
      <c r="I4" s="41"/>
      <c r="J4" s="46"/>
      <c r="K4" s="47"/>
      <c r="L4" s="44">
        <f t="shared" si="1"/>
        <v>0</v>
      </c>
      <c r="M4" s="40">
        <f t="shared" si="2"/>
        <v>0</v>
      </c>
      <c r="N4" s="41">
        <f t="shared" si="3"/>
        <v>0</v>
      </c>
      <c r="O4" s="46">
        <f t="shared" si="4"/>
        <v>0</v>
      </c>
      <c r="P4" s="47">
        <f t="shared" si="5"/>
        <v>0</v>
      </c>
    </row>
    <row r="5" spans="1:16" x14ac:dyDescent="0.25">
      <c r="A5" s="108"/>
      <c r="B5" s="110"/>
      <c r="C5" s="114"/>
      <c r="D5" s="114"/>
      <c r="E5" s="111" t="s">
        <v>16</v>
      </c>
      <c r="F5" s="111"/>
      <c r="G5" s="44"/>
      <c r="H5" s="45">
        <v>98.23</v>
      </c>
      <c r="I5" s="41"/>
      <c r="J5" s="46"/>
      <c r="K5" s="47"/>
      <c r="L5" s="44">
        <f t="shared" si="1"/>
        <v>0</v>
      </c>
      <c r="M5" s="68">
        <f t="shared" si="2"/>
        <v>98.23</v>
      </c>
      <c r="N5" s="41">
        <f t="shared" si="3"/>
        <v>0</v>
      </c>
      <c r="O5" s="46">
        <f t="shared" si="4"/>
        <v>0</v>
      </c>
      <c r="P5" s="47">
        <f t="shared" si="5"/>
        <v>0</v>
      </c>
    </row>
    <row r="6" spans="1:16" x14ac:dyDescent="0.25">
      <c r="A6" s="108"/>
      <c r="B6" s="110"/>
      <c r="C6" s="114"/>
      <c r="D6" s="114"/>
      <c r="E6" s="114" t="s">
        <v>13</v>
      </c>
      <c r="F6" s="114"/>
      <c r="G6" s="44"/>
      <c r="H6" s="45">
        <v>99.21</v>
      </c>
      <c r="I6" s="41"/>
      <c r="J6" s="46"/>
      <c r="K6" s="47"/>
      <c r="L6" s="44">
        <f t="shared" si="1"/>
        <v>0</v>
      </c>
      <c r="M6" s="68">
        <f t="shared" si="2"/>
        <v>99.21</v>
      </c>
      <c r="N6" s="41">
        <f t="shared" si="3"/>
        <v>0</v>
      </c>
      <c r="O6" s="46">
        <f t="shared" si="4"/>
        <v>0</v>
      </c>
      <c r="P6" s="47">
        <f t="shared" si="5"/>
        <v>0</v>
      </c>
    </row>
    <row r="7" spans="1:16" x14ac:dyDescent="0.25">
      <c r="A7" s="108"/>
      <c r="B7" s="110"/>
      <c r="C7" s="114"/>
      <c r="D7" s="114"/>
      <c r="E7" s="114" t="s">
        <v>17</v>
      </c>
      <c r="F7" s="114"/>
      <c r="G7" s="44"/>
      <c r="H7" s="40"/>
      <c r="I7" s="41"/>
      <c r="J7" s="46"/>
      <c r="K7" s="47"/>
      <c r="L7" s="44">
        <f t="shared" si="1"/>
        <v>0</v>
      </c>
      <c r="M7" s="40">
        <f t="shared" si="2"/>
        <v>0</v>
      </c>
      <c r="N7" s="41">
        <f t="shared" si="3"/>
        <v>0</v>
      </c>
      <c r="O7" s="46">
        <f t="shared" si="4"/>
        <v>0</v>
      </c>
      <c r="P7" s="47">
        <f t="shared" si="5"/>
        <v>0</v>
      </c>
    </row>
    <row r="8" spans="1:16" ht="13.2" customHeight="1" x14ac:dyDescent="0.25">
      <c r="A8" s="108" t="s">
        <v>119</v>
      </c>
      <c r="B8" s="110">
        <v>3</v>
      </c>
      <c r="C8" s="114" t="s">
        <v>18</v>
      </c>
      <c r="D8" s="114" t="s">
        <v>19</v>
      </c>
      <c r="E8" s="113" t="s">
        <v>11</v>
      </c>
      <c r="F8" s="113"/>
      <c r="G8" s="44"/>
      <c r="H8" s="40"/>
      <c r="I8" s="41"/>
      <c r="J8" s="46"/>
      <c r="K8" s="47"/>
      <c r="L8" s="44">
        <f t="shared" si="1"/>
        <v>0</v>
      </c>
      <c r="M8" s="40">
        <f t="shared" si="2"/>
        <v>0</v>
      </c>
      <c r="N8" s="41">
        <f t="shared" si="3"/>
        <v>0</v>
      </c>
      <c r="O8" s="46">
        <f t="shared" si="4"/>
        <v>0</v>
      </c>
      <c r="P8" s="47">
        <f t="shared" si="5"/>
        <v>0</v>
      </c>
    </row>
    <row r="9" spans="1:16" x14ac:dyDescent="0.25">
      <c r="A9" s="108"/>
      <c r="B9" s="110"/>
      <c r="C9" s="114"/>
      <c r="D9" s="114"/>
      <c r="E9" s="111" t="s">
        <v>16</v>
      </c>
      <c r="F9" s="111"/>
      <c r="G9" s="44"/>
      <c r="H9" s="45">
        <v>97.7</v>
      </c>
      <c r="I9" s="41"/>
      <c r="J9" s="46"/>
      <c r="K9" s="47"/>
      <c r="L9" s="44">
        <f t="shared" si="1"/>
        <v>0</v>
      </c>
      <c r="M9" s="68">
        <f t="shared" si="2"/>
        <v>97.7</v>
      </c>
      <c r="N9" s="41">
        <f t="shared" si="3"/>
        <v>0</v>
      </c>
      <c r="O9" s="46">
        <f t="shared" si="4"/>
        <v>0</v>
      </c>
      <c r="P9" s="47">
        <f t="shared" si="5"/>
        <v>0</v>
      </c>
    </row>
    <row r="10" spans="1:16" x14ac:dyDescent="0.25">
      <c r="A10" s="108"/>
      <c r="B10" s="110"/>
      <c r="C10" s="114"/>
      <c r="D10" s="114"/>
      <c r="E10" s="114" t="s">
        <v>13</v>
      </c>
      <c r="F10" s="114"/>
      <c r="G10" s="44"/>
      <c r="H10" s="45">
        <v>98.7</v>
      </c>
      <c r="I10" s="41"/>
      <c r="J10" s="46"/>
      <c r="K10" s="47"/>
      <c r="L10" s="44">
        <f t="shared" si="1"/>
        <v>0</v>
      </c>
      <c r="M10" s="68">
        <f t="shared" si="2"/>
        <v>98.7</v>
      </c>
      <c r="N10" s="41">
        <f t="shared" si="3"/>
        <v>0</v>
      </c>
      <c r="O10" s="46">
        <f t="shared" si="4"/>
        <v>0</v>
      </c>
      <c r="P10" s="47">
        <f t="shared" si="5"/>
        <v>0</v>
      </c>
    </row>
    <row r="11" spans="1:16" x14ac:dyDescent="0.25">
      <c r="A11" s="108"/>
      <c r="B11" s="110"/>
      <c r="C11" s="114"/>
      <c r="D11" s="114"/>
      <c r="E11" s="114" t="s">
        <v>17</v>
      </c>
      <c r="F11" s="114"/>
      <c r="G11" s="44"/>
      <c r="H11" s="40"/>
      <c r="I11" s="41"/>
      <c r="J11" s="46"/>
      <c r="K11" s="47"/>
      <c r="L11" s="44">
        <f t="shared" si="1"/>
        <v>0</v>
      </c>
      <c r="M11" s="40">
        <f t="shared" si="2"/>
        <v>0</v>
      </c>
      <c r="N11" s="41">
        <f t="shared" si="3"/>
        <v>0</v>
      </c>
      <c r="O11" s="46">
        <f t="shared" si="4"/>
        <v>0</v>
      </c>
      <c r="P11" s="47">
        <f t="shared" si="5"/>
        <v>0</v>
      </c>
    </row>
    <row r="12" spans="1:16" x14ac:dyDescent="0.25">
      <c r="A12" s="108" t="s">
        <v>119</v>
      </c>
      <c r="B12" s="110">
        <v>4</v>
      </c>
      <c r="C12" s="117" t="s">
        <v>20</v>
      </c>
      <c r="D12" s="117" t="s">
        <v>21</v>
      </c>
      <c r="E12" s="49" t="s">
        <v>22</v>
      </c>
      <c r="F12" s="50" t="s">
        <v>23</v>
      </c>
      <c r="G12" s="44"/>
      <c r="H12" s="40"/>
      <c r="I12" s="41"/>
      <c r="J12" s="46"/>
      <c r="K12" s="47"/>
      <c r="L12" s="44">
        <f t="shared" si="1"/>
        <v>0</v>
      </c>
      <c r="M12" s="40">
        <f t="shared" si="2"/>
        <v>0</v>
      </c>
      <c r="N12" s="41">
        <f t="shared" si="3"/>
        <v>0</v>
      </c>
      <c r="O12" s="46">
        <f t="shared" si="4"/>
        <v>0</v>
      </c>
      <c r="P12" s="47">
        <f t="shared" si="5"/>
        <v>0</v>
      </c>
    </row>
    <row r="13" spans="1:16" x14ac:dyDescent="0.25">
      <c r="A13" s="108"/>
      <c r="B13" s="110"/>
      <c r="C13" s="117"/>
      <c r="D13" s="117"/>
      <c r="E13" s="49" t="s">
        <v>12</v>
      </c>
      <c r="F13" s="50" t="s">
        <v>23</v>
      </c>
      <c r="G13" s="44"/>
      <c r="H13" s="45">
        <v>45</v>
      </c>
      <c r="I13" s="41"/>
      <c r="J13" s="46"/>
      <c r="K13" s="47"/>
      <c r="L13" s="44">
        <f t="shared" si="1"/>
        <v>0</v>
      </c>
      <c r="M13" s="68">
        <f t="shared" si="2"/>
        <v>45</v>
      </c>
      <c r="N13" s="41">
        <f t="shared" si="3"/>
        <v>0</v>
      </c>
      <c r="O13" s="46">
        <f t="shared" si="4"/>
        <v>0</v>
      </c>
      <c r="P13" s="47">
        <f t="shared" si="5"/>
        <v>0</v>
      </c>
    </row>
    <row r="14" spans="1:16" x14ac:dyDescent="0.25">
      <c r="A14" s="108"/>
      <c r="B14" s="110"/>
      <c r="C14" s="117"/>
      <c r="D14" s="117"/>
      <c r="E14" s="49" t="s">
        <v>13</v>
      </c>
      <c r="F14" s="50" t="s">
        <v>23</v>
      </c>
      <c r="G14" s="44"/>
      <c r="H14" s="45">
        <v>487</v>
      </c>
      <c r="I14" s="41"/>
      <c r="J14" s="46"/>
      <c r="K14" s="47"/>
      <c r="L14" s="44">
        <f t="shared" si="1"/>
        <v>0</v>
      </c>
      <c r="M14" s="68">
        <f t="shared" si="2"/>
        <v>487</v>
      </c>
      <c r="N14" s="41">
        <f t="shared" si="3"/>
        <v>0</v>
      </c>
      <c r="O14" s="46">
        <f t="shared" si="4"/>
        <v>0</v>
      </c>
      <c r="P14" s="47">
        <f t="shared" si="5"/>
        <v>0</v>
      </c>
    </row>
    <row r="15" spans="1:16" x14ac:dyDescent="0.25">
      <c r="A15" s="108"/>
      <c r="B15" s="110"/>
      <c r="C15" s="117"/>
      <c r="D15" s="117"/>
      <c r="E15" s="49" t="s">
        <v>17</v>
      </c>
      <c r="F15" s="50" t="s">
        <v>24</v>
      </c>
      <c r="G15" s="44"/>
      <c r="H15" s="40"/>
      <c r="I15" s="41"/>
      <c r="J15" s="46"/>
      <c r="K15" s="47"/>
      <c r="L15" s="44">
        <f t="shared" si="1"/>
        <v>0</v>
      </c>
      <c r="M15" s="40">
        <f t="shared" si="2"/>
        <v>0</v>
      </c>
      <c r="N15" s="41">
        <f t="shared" si="3"/>
        <v>0</v>
      </c>
      <c r="O15" s="46">
        <f t="shared" si="4"/>
        <v>0</v>
      </c>
      <c r="P15" s="47">
        <f t="shared" si="5"/>
        <v>0</v>
      </c>
    </row>
    <row r="16" spans="1:16" x14ac:dyDescent="0.25">
      <c r="A16" s="108" t="s">
        <v>119</v>
      </c>
      <c r="B16" s="110">
        <v>5</v>
      </c>
      <c r="C16" s="117" t="s">
        <v>25</v>
      </c>
      <c r="D16" s="117" t="s">
        <v>26</v>
      </c>
      <c r="E16" s="49" t="s">
        <v>22</v>
      </c>
      <c r="F16" s="50" t="s">
        <v>23</v>
      </c>
      <c r="G16" s="44"/>
      <c r="H16" s="40"/>
      <c r="I16" s="41"/>
      <c r="J16" s="46"/>
      <c r="K16" s="47"/>
      <c r="L16" s="44">
        <f t="shared" si="1"/>
        <v>0</v>
      </c>
      <c r="M16" s="40">
        <f t="shared" si="2"/>
        <v>0</v>
      </c>
      <c r="N16" s="41">
        <f t="shared" si="3"/>
        <v>0</v>
      </c>
      <c r="O16" s="46">
        <f t="shared" si="4"/>
        <v>0</v>
      </c>
      <c r="P16" s="47">
        <f t="shared" si="5"/>
        <v>0</v>
      </c>
    </row>
    <row r="17" spans="1:16" x14ac:dyDescent="0.25">
      <c r="A17" s="108"/>
      <c r="B17" s="110"/>
      <c r="C17" s="117"/>
      <c r="D17" s="117"/>
      <c r="E17" s="49" t="s">
        <v>12</v>
      </c>
      <c r="F17" s="50" t="s">
        <v>23</v>
      </c>
      <c r="G17" s="44"/>
      <c r="H17" s="45">
        <v>107</v>
      </c>
      <c r="I17" s="41"/>
      <c r="J17" s="46"/>
      <c r="K17" s="47"/>
      <c r="L17" s="44">
        <f t="shared" si="1"/>
        <v>0</v>
      </c>
      <c r="M17" s="68">
        <f t="shared" si="2"/>
        <v>107</v>
      </c>
      <c r="N17" s="41">
        <f t="shared" si="3"/>
        <v>0</v>
      </c>
      <c r="O17" s="46">
        <f t="shared" si="4"/>
        <v>0</v>
      </c>
      <c r="P17" s="47">
        <f t="shared" si="5"/>
        <v>0</v>
      </c>
    </row>
    <row r="18" spans="1:16" x14ac:dyDescent="0.25">
      <c r="A18" s="108"/>
      <c r="B18" s="110"/>
      <c r="C18" s="117"/>
      <c r="D18" s="117"/>
      <c r="E18" s="49" t="s">
        <v>13</v>
      </c>
      <c r="F18" s="50" t="s">
        <v>23</v>
      </c>
      <c r="G18" s="44"/>
      <c r="H18" s="45">
        <v>3343</v>
      </c>
      <c r="I18" s="41"/>
      <c r="J18" s="46"/>
      <c r="K18" s="47"/>
      <c r="L18" s="44">
        <f t="shared" si="1"/>
        <v>0</v>
      </c>
      <c r="M18" s="68">
        <f t="shared" si="2"/>
        <v>3343</v>
      </c>
      <c r="N18" s="41">
        <f t="shared" si="3"/>
        <v>0</v>
      </c>
      <c r="O18" s="46">
        <f t="shared" si="4"/>
        <v>0</v>
      </c>
      <c r="P18" s="47">
        <f t="shared" si="5"/>
        <v>0</v>
      </c>
    </row>
    <row r="19" spans="1:16" x14ac:dyDescent="0.25">
      <c r="A19" s="108"/>
      <c r="B19" s="110"/>
      <c r="C19" s="117"/>
      <c r="D19" s="117"/>
      <c r="E19" s="49" t="s">
        <v>17</v>
      </c>
      <c r="F19" s="50" t="s">
        <v>24</v>
      </c>
      <c r="G19" s="44"/>
      <c r="H19" s="40"/>
      <c r="I19" s="41"/>
      <c r="J19" s="46"/>
      <c r="K19" s="47"/>
      <c r="L19" s="44">
        <f t="shared" si="1"/>
        <v>0</v>
      </c>
      <c r="M19" s="40">
        <f t="shared" si="2"/>
        <v>0</v>
      </c>
      <c r="N19" s="41">
        <f t="shared" si="3"/>
        <v>0</v>
      </c>
      <c r="O19" s="46">
        <f t="shared" si="4"/>
        <v>0</v>
      </c>
      <c r="P19" s="47">
        <f t="shared" si="5"/>
        <v>0</v>
      </c>
    </row>
    <row r="20" spans="1:16" x14ac:dyDescent="0.25">
      <c r="A20" s="108" t="s">
        <v>119</v>
      </c>
      <c r="B20" s="110">
        <v>6</v>
      </c>
      <c r="C20" s="114" t="s">
        <v>27</v>
      </c>
      <c r="D20" s="113" t="s">
        <v>28</v>
      </c>
      <c r="E20" s="113" t="s">
        <v>11</v>
      </c>
      <c r="F20" s="113"/>
      <c r="G20" s="44"/>
      <c r="H20" s="40"/>
      <c r="I20" s="41"/>
      <c r="J20" s="46"/>
      <c r="K20" s="47"/>
      <c r="L20" s="44">
        <f t="shared" si="1"/>
        <v>0</v>
      </c>
      <c r="M20" s="40">
        <f t="shared" si="2"/>
        <v>0</v>
      </c>
      <c r="N20" s="41">
        <f t="shared" si="3"/>
        <v>0</v>
      </c>
      <c r="O20" s="46">
        <f t="shared" si="4"/>
        <v>0</v>
      </c>
      <c r="P20" s="47">
        <f t="shared" si="5"/>
        <v>0</v>
      </c>
    </row>
    <row r="21" spans="1:16" x14ac:dyDescent="0.25">
      <c r="A21" s="108"/>
      <c r="B21" s="110"/>
      <c r="C21" s="114"/>
      <c r="D21" s="113"/>
      <c r="E21" s="111" t="s">
        <v>16</v>
      </c>
      <c r="F21" s="111"/>
      <c r="G21" s="44"/>
      <c r="H21" s="45">
        <v>216</v>
      </c>
      <c r="I21" s="41"/>
      <c r="J21" s="46"/>
      <c r="K21" s="47"/>
      <c r="L21" s="44">
        <f t="shared" si="1"/>
        <v>0</v>
      </c>
      <c r="M21" s="68">
        <f t="shared" si="2"/>
        <v>216</v>
      </c>
      <c r="N21" s="41">
        <f t="shared" si="3"/>
        <v>0</v>
      </c>
      <c r="O21" s="46">
        <f t="shared" si="4"/>
        <v>0</v>
      </c>
      <c r="P21" s="47">
        <f t="shared" si="5"/>
        <v>0</v>
      </c>
    </row>
    <row r="22" spans="1:16" x14ac:dyDescent="0.25">
      <c r="A22" s="108"/>
      <c r="B22" s="110"/>
      <c r="C22" s="114"/>
      <c r="D22" s="113"/>
      <c r="E22" s="114" t="s">
        <v>13</v>
      </c>
      <c r="F22" s="114"/>
      <c r="G22" s="44"/>
      <c r="H22" s="45">
        <v>28</v>
      </c>
      <c r="I22" s="41"/>
      <c r="J22" s="46"/>
      <c r="K22" s="47"/>
      <c r="L22" s="44">
        <f t="shared" si="1"/>
        <v>0</v>
      </c>
      <c r="M22" s="68">
        <f t="shared" si="2"/>
        <v>28</v>
      </c>
      <c r="N22" s="41">
        <f t="shared" si="3"/>
        <v>0</v>
      </c>
      <c r="O22" s="46">
        <f t="shared" si="4"/>
        <v>0</v>
      </c>
      <c r="P22" s="47">
        <f t="shared" si="5"/>
        <v>0</v>
      </c>
    </row>
    <row r="23" spans="1:16" x14ac:dyDescent="0.25">
      <c r="A23" s="108"/>
      <c r="B23" s="110"/>
      <c r="C23" s="114"/>
      <c r="D23" s="113"/>
      <c r="E23" s="114" t="s">
        <v>17</v>
      </c>
      <c r="F23" s="114"/>
      <c r="G23" s="44"/>
      <c r="H23" s="40"/>
      <c r="I23" s="41"/>
      <c r="J23" s="46"/>
      <c r="K23" s="47"/>
      <c r="L23" s="44">
        <f t="shared" si="1"/>
        <v>0</v>
      </c>
      <c r="M23" s="40">
        <f t="shared" si="2"/>
        <v>0</v>
      </c>
      <c r="N23" s="41">
        <f t="shared" si="3"/>
        <v>0</v>
      </c>
      <c r="O23" s="46">
        <f t="shared" si="4"/>
        <v>0</v>
      </c>
      <c r="P23" s="47">
        <f t="shared" si="5"/>
        <v>0</v>
      </c>
    </row>
    <row r="24" spans="1:16" x14ac:dyDescent="0.25">
      <c r="A24" s="108" t="s">
        <v>119</v>
      </c>
      <c r="B24" s="110">
        <v>7</v>
      </c>
      <c r="C24" s="115" t="s">
        <v>29</v>
      </c>
      <c r="D24" s="112" t="s">
        <v>30</v>
      </c>
      <c r="E24" s="113" t="s">
        <v>11</v>
      </c>
      <c r="F24" s="113"/>
      <c r="G24" s="44"/>
      <c r="H24" s="40"/>
      <c r="I24" s="41"/>
      <c r="J24" s="46"/>
      <c r="K24" s="47"/>
      <c r="L24" s="44">
        <f t="shared" si="1"/>
        <v>0</v>
      </c>
      <c r="M24" s="40">
        <f t="shared" si="2"/>
        <v>0</v>
      </c>
      <c r="N24" s="41">
        <f t="shared" si="3"/>
        <v>0</v>
      </c>
      <c r="O24" s="46">
        <f t="shared" si="4"/>
        <v>0</v>
      </c>
      <c r="P24" s="47">
        <f t="shared" si="5"/>
        <v>0</v>
      </c>
    </row>
    <row r="25" spans="1:16" x14ac:dyDescent="0.25">
      <c r="A25" s="108"/>
      <c r="B25" s="110"/>
      <c r="C25" s="115"/>
      <c r="D25" s="112"/>
      <c r="E25" s="111" t="s">
        <v>16</v>
      </c>
      <c r="F25" s="111"/>
      <c r="G25" s="44"/>
      <c r="H25" s="45">
        <v>97.66</v>
      </c>
      <c r="I25" s="41"/>
      <c r="J25" s="46"/>
      <c r="K25" s="47"/>
      <c r="L25" s="44">
        <f t="shared" si="1"/>
        <v>0</v>
      </c>
      <c r="M25" s="68">
        <f t="shared" si="2"/>
        <v>97.66</v>
      </c>
      <c r="N25" s="41">
        <f t="shared" si="3"/>
        <v>0</v>
      </c>
      <c r="O25" s="46">
        <f t="shared" si="4"/>
        <v>0</v>
      </c>
      <c r="P25" s="47">
        <f t="shared" si="5"/>
        <v>0</v>
      </c>
    </row>
    <row r="26" spans="1:16" x14ac:dyDescent="0.25">
      <c r="A26" s="108"/>
      <c r="B26" s="110"/>
      <c r="C26" s="115"/>
      <c r="D26" s="112"/>
      <c r="E26" s="114" t="s">
        <v>13</v>
      </c>
      <c r="F26" s="114"/>
      <c r="G26" s="44"/>
      <c r="H26" s="45">
        <v>99.11</v>
      </c>
      <c r="I26" s="41"/>
      <c r="J26" s="46"/>
      <c r="K26" s="47"/>
      <c r="L26" s="44">
        <f t="shared" si="1"/>
        <v>0</v>
      </c>
      <c r="M26" s="68">
        <f t="shared" si="2"/>
        <v>99.11</v>
      </c>
      <c r="N26" s="41">
        <f t="shared" si="3"/>
        <v>0</v>
      </c>
      <c r="O26" s="46">
        <f t="shared" si="4"/>
        <v>0</v>
      </c>
      <c r="P26" s="47">
        <f t="shared" si="5"/>
        <v>0</v>
      </c>
    </row>
    <row r="27" spans="1:16" x14ac:dyDescent="0.25">
      <c r="A27" s="108"/>
      <c r="B27" s="110"/>
      <c r="C27" s="115"/>
      <c r="D27" s="112"/>
      <c r="E27" s="114" t="s">
        <v>17</v>
      </c>
      <c r="F27" s="114"/>
      <c r="G27" s="44"/>
      <c r="H27" s="40"/>
      <c r="I27" s="41"/>
      <c r="J27" s="46"/>
      <c r="K27" s="47"/>
      <c r="L27" s="44">
        <f t="shared" si="1"/>
        <v>0</v>
      </c>
      <c r="M27" s="40">
        <f t="shared" si="2"/>
        <v>0</v>
      </c>
      <c r="N27" s="41">
        <f t="shared" si="3"/>
        <v>0</v>
      </c>
      <c r="O27" s="46">
        <f t="shared" si="4"/>
        <v>0</v>
      </c>
      <c r="P27" s="47">
        <f t="shared" si="5"/>
        <v>0</v>
      </c>
    </row>
    <row r="28" spans="1:16" x14ac:dyDescent="0.25">
      <c r="A28" s="108" t="s">
        <v>119</v>
      </c>
      <c r="B28" s="110">
        <v>8</v>
      </c>
      <c r="C28" s="111" t="s">
        <v>31</v>
      </c>
      <c r="D28" s="112" t="s">
        <v>32</v>
      </c>
      <c r="E28" s="113" t="s">
        <v>11</v>
      </c>
      <c r="F28" s="113"/>
      <c r="G28" s="44"/>
      <c r="H28" s="40"/>
      <c r="I28" s="41"/>
      <c r="J28" s="46"/>
      <c r="K28" s="47"/>
      <c r="L28" s="44">
        <f t="shared" si="1"/>
        <v>0</v>
      </c>
      <c r="M28" s="40">
        <f t="shared" si="2"/>
        <v>0</v>
      </c>
      <c r="N28" s="41">
        <f t="shared" si="3"/>
        <v>0</v>
      </c>
      <c r="O28" s="46">
        <f t="shared" si="4"/>
        <v>0</v>
      </c>
      <c r="P28" s="47">
        <f t="shared" si="5"/>
        <v>0</v>
      </c>
    </row>
    <row r="29" spans="1:16" x14ac:dyDescent="0.25">
      <c r="A29" s="108"/>
      <c r="B29" s="110"/>
      <c r="C29" s="111"/>
      <c r="D29" s="112"/>
      <c r="E29" s="111" t="s">
        <v>16</v>
      </c>
      <c r="F29" s="111"/>
      <c r="G29" s="44"/>
      <c r="H29" s="45">
        <v>3.17</v>
      </c>
      <c r="I29" s="41"/>
      <c r="J29" s="46"/>
      <c r="K29" s="47"/>
      <c r="L29" s="44">
        <f t="shared" si="1"/>
        <v>0</v>
      </c>
      <c r="M29" s="68">
        <f t="shared" si="2"/>
        <v>3.17</v>
      </c>
      <c r="N29" s="41">
        <f t="shared" si="3"/>
        <v>0</v>
      </c>
      <c r="O29" s="46">
        <f t="shared" si="4"/>
        <v>0</v>
      </c>
      <c r="P29" s="47">
        <f t="shared" si="5"/>
        <v>0</v>
      </c>
    </row>
    <row r="30" spans="1:16" x14ac:dyDescent="0.25">
      <c r="A30" s="108"/>
      <c r="B30" s="110"/>
      <c r="C30" s="111"/>
      <c r="D30" s="112"/>
      <c r="E30" s="114" t="s">
        <v>13</v>
      </c>
      <c r="F30" s="114"/>
      <c r="G30" s="44"/>
      <c r="H30" s="45">
        <v>1.74</v>
      </c>
      <c r="I30" s="41"/>
      <c r="J30" s="46"/>
      <c r="K30" s="47"/>
      <c r="L30" s="44">
        <f t="shared" si="1"/>
        <v>0</v>
      </c>
      <c r="M30" s="68">
        <f t="shared" si="2"/>
        <v>1.74</v>
      </c>
      <c r="N30" s="41">
        <f t="shared" si="3"/>
        <v>0</v>
      </c>
      <c r="O30" s="46">
        <f t="shared" si="4"/>
        <v>0</v>
      </c>
      <c r="P30" s="47">
        <f t="shared" si="5"/>
        <v>0</v>
      </c>
    </row>
    <row r="31" spans="1:16" x14ac:dyDescent="0.25">
      <c r="A31" s="108"/>
      <c r="B31" s="110"/>
      <c r="C31" s="111"/>
      <c r="D31" s="112"/>
      <c r="E31" s="114" t="s">
        <v>17</v>
      </c>
      <c r="F31" s="114"/>
      <c r="G31" s="44"/>
      <c r="H31" s="40"/>
      <c r="I31" s="41"/>
      <c r="J31" s="46"/>
      <c r="K31" s="47"/>
      <c r="L31" s="44">
        <f t="shared" si="1"/>
        <v>0</v>
      </c>
      <c r="M31" s="40">
        <f t="shared" si="2"/>
        <v>0</v>
      </c>
      <c r="N31" s="41">
        <f t="shared" si="3"/>
        <v>0</v>
      </c>
      <c r="O31" s="46">
        <f t="shared" si="4"/>
        <v>0</v>
      </c>
      <c r="P31" s="47">
        <f t="shared" si="5"/>
        <v>0</v>
      </c>
    </row>
  </sheetData>
  <mergeCells count="55">
    <mergeCell ref="C2:C3"/>
    <mergeCell ref="D2:D3"/>
    <mergeCell ref="C4:C7"/>
    <mergeCell ref="D4:D7"/>
    <mergeCell ref="C28:C31"/>
    <mergeCell ref="D28:D31"/>
    <mergeCell ref="C24:C27"/>
    <mergeCell ref="D24:D27"/>
    <mergeCell ref="C20:C23"/>
    <mergeCell ref="D20:D23"/>
    <mergeCell ref="B16:B19"/>
    <mergeCell ref="B2:B3"/>
    <mergeCell ref="E2:F2"/>
    <mergeCell ref="E3:F3"/>
    <mergeCell ref="B4:B7"/>
    <mergeCell ref="E4:F4"/>
    <mergeCell ref="E5:F5"/>
    <mergeCell ref="E6:F6"/>
    <mergeCell ref="E7:F7"/>
    <mergeCell ref="B8:B11"/>
    <mergeCell ref="C12:C15"/>
    <mergeCell ref="D12:D15"/>
    <mergeCell ref="C16:C19"/>
    <mergeCell ref="D16:D19"/>
    <mergeCell ref="C8:C11"/>
    <mergeCell ref="D8:D11"/>
    <mergeCell ref="E8:F8"/>
    <mergeCell ref="E9:F9"/>
    <mergeCell ref="E10:F10"/>
    <mergeCell ref="E11:F11"/>
    <mergeCell ref="B12:B15"/>
    <mergeCell ref="E21:F21"/>
    <mergeCell ref="E22:F22"/>
    <mergeCell ref="E23:F23"/>
    <mergeCell ref="B24:B27"/>
    <mergeCell ref="E24:F24"/>
    <mergeCell ref="E25:F25"/>
    <mergeCell ref="E26:F26"/>
    <mergeCell ref="E27:F27"/>
    <mergeCell ref="A20:A23"/>
    <mergeCell ref="A24:A27"/>
    <mergeCell ref="A28:A31"/>
    <mergeCell ref="E1:F1"/>
    <mergeCell ref="A2:A3"/>
    <mergeCell ref="A4:A7"/>
    <mergeCell ref="A8:A11"/>
    <mergeCell ref="A12:A15"/>
    <mergeCell ref="A16:A19"/>
    <mergeCell ref="B28:B31"/>
    <mergeCell ref="E28:F28"/>
    <mergeCell ref="E29:F29"/>
    <mergeCell ref="E30:F30"/>
    <mergeCell ref="E31:F31"/>
    <mergeCell ref="B20:B23"/>
    <mergeCell ref="E20:F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31"/>
  <sheetViews>
    <sheetView workbookViewId="0">
      <selection activeCell="E30" sqref="E30:F30"/>
    </sheetView>
  </sheetViews>
  <sheetFormatPr defaultRowHeight="13.2" x14ac:dyDescent="0.25"/>
  <cols>
    <col min="1" max="1" width="17.88671875" customWidth="1"/>
  </cols>
  <sheetData>
    <row r="1" spans="1:16" ht="40.799999999999997" x14ac:dyDescent="0.25">
      <c r="A1" s="31" t="s">
        <v>115</v>
      </c>
      <c r="B1" s="1" t="s">
        <v>0</v>
      </c>
      <c r="C1" s="22" t="s">
        <v>1</v>
      </c>
      <c r="D1" s="23" t="s">
        <v>2</v>
      </c>
      <c r="E1" s="102" t="s">
        <v>3</v>
      </c>
      <c r="F1" s="103"/>
      <c r="G1" s="3" t="s">
        <v>4</v>
      </c>
      <c r="H1" s="4" t="s">
        <v>5</v>
      </c>
      <c r="I1" s="5" t="s">
        <v>6</v>
      </c>
      <c r="J1" s="6" t="s">
        <v>7</v>
      </c>
      <c r="K1" s="7" t="s">
        <v>8</v>
      </c>
      <c r="L1" s="3" t="s">
        <v>4</v>
      </c>
      <c r="M1" s="4" t="s">
        <v>5</v>
      </c>
      <c r="N1" s="5" t="s">
        <v>6</v>
      </c>
      <c r="O1" s="6" t="s">
        <v>7</v>
      </c>
      <c r="P1" s="7" t="s">
        <v>8</v>
      </c>
    </row>
    <row r="2" spans="1:16" x14ac:dyDescent="0.25">
      <c r="A2" s="119" t="s">
        <v>120</v>
      </c>
      <c r="B2" s="75">
        <v>1</v>
      </c>
      <c r="C2" s="104" t="s">
        <v>9</v>
      </c>
      <c r="D2" s="104" t="s">
        <v>54</v>
      </c>
      <c r="E2" s="84" t="s">
        <v>11</v>
      </c>
      <c r="F2" s="85"/>
      <c r="G2" s="10">
        <v>100</v>
      </c>
      <c r="H2" s="11"/>
      <c r="I2" s="12"/>
      <c r="J2" s="13">
        <v>98.65</v>
      </c>
      <c r="K2" s="14">
        <v>99.71</v>
      </c>
      <c r="L2" s="10">
        <f>IF(OR(G2="NA",G2=0),0,(1*G2))</f>
        <v>100</v>
      </c>
      <c r="M2" s="11">
        <f t="shared" ref="M2:P2" si="0">IF(OR(H2="NA",H2=0),0,(1*H2))</f>
        <v>0</v>
      </c>
      <c r="N2" s="12">
        <f t="shared" si="0"/>
        <v>0</v>
      </c>
      <c r="O2" s="13">
        <f t="shared" si="0"/>
        <v>98.65</v>
      </c>
      <c r="P2" s="14">
        <f t="shared" si="0"/>
        <v>99.71</v>
      </c>
    </row>
    <row r="3" spans="1:16" x14ac:dyDescent="0.25">
      <c r="A3" s="73"/>
      <c r="B3" s="77"/>
      <c r="C3" s="106"/>
      <c r="D3" s="106"/>
      <c r="E3" s="88" t="s">
        <v>13</v>
      </c>
      <c r="F3" s="89"/>
      <c r="G3" s="15"/>
      <c r="H3" s="11"/>
      <c r="I3" s="12"/>
      <c r="J3" s="17"/>
      <c r="K3" s="18"/>
      <c r="L3" s="10">
        <f t="shared" ref="L3:L31" si="1">IF(OR(G3="NA",G3=0),0,(1*G3))</f>
        <v>0</v>
      </c>
      <c r="M3" s="11">
        <f t="shared" ref="M3:M31" si="2">IF(OR(H3="NA",H3=0),0,(1*H3))</f>
        <v>0</v>
      </c>
      <c r="N3" s="12">
        <f t="shared" ref="N3:N31" si="3">IF(OR(I3="NA",I3=0),0,(1*I3))</f>
        <v>0</v>
      </c>
      <c r="O3" s="17">
        <f t="shared" ref="O3:O31" si="4">IF(OR(J3="NA",J3=0),0,(1*J3))</f>
        <v>0</v>
      </c>
      <c r="P3" s="18">
        <f t="shared" ref="P3:P31" si="5">IF(OR(K3="NA",K3=0),0,(1*K3))</f>
        <v>0</v>
      </c>
    </row>
    <row r="4" spans="1:16" x14ac:dyDescent="0.25">
      <c r="A4" s="73" t="s">
        <v>120</v>
      </c>
      <c r="B4" s="75">
        <v>2</v>
      </c>
      <c r="C4" s="93" t="s">
        <v>14</v>
      </c>
      <c r="D4" s="93" t="s">
        <v>15</v>
      </c>
      <c r="E4" s="84" t="s">
        <v>11</v>
      </c>
      <c r="F4" s="85"/>
      <c r="G4" s="15"/>
      <c r="H4" s="11"/>
      <c r="I4" s="12"/>
      <c r="J4" s="13">
        <v>100</v>
      </c>
      <c r="K4" s="18"/>
      <c r="L4" s="10">
        <f t="shared" si="1"/>
        <v>0</v>
      </c>
      <c r="M4" s="11">
        <f t="shared" si="2"/>
        <v>0</v>
      </c>
      <c r="N4" s="12">
        <f t="shared" si="3"/>
        <v>0</v>
      </c>
      <c r="O4" s="13">
        <f t="shared" si="4"/>
        <v>100</v>
      </c>
      <c r="P4" s="18">
        <f t="shared" si="5"/>
        <v>0</v>
      </c>
    </row>
    <row r="5" spans="1:16" x14ac:dyDescent="0.25">
      <c r="A5" s="73"/>
      <c r="B5" s="76"/>
      <c r="C5" s="94"/>
      <c r="D5" s="94"/>
      <c r="E5" s="86" t="s">
        <v>16</v>
      </c>
      <c r="F5" s="87"/>
      <c r="G5" s="10">
        <v>99.44</v>
      </c>
      <c r="H5" s="11"/>
      <c r="I5" s="12"/>
      <c r="J5" s="17"/>
      <c r="K5" s="14">
        <v>94.97</v>
      </c>
      <c r="L5" s="10">
        <f t="shared" si="1"/>
        <v>99.44</v>
      </c>
      <c r="M5" s="11">
        <f t="shared" si="2"/>
        <v>0</v>
      </c>
      <c r="N5" s="12">
        <f t="shared" si="3"/>
        <v>0</v>
      </c>
      <c r="O5" s="17">
        <f t="shared" si="4"/>
        <v>0</v>
      </c>
      <c r="P5" s="14">
        <f t="shared" si="5"/>
        <v>94.97</v>
      </c>
    </row>
    <row r="6" spans="1:16" x14ac:dyDescent="0.25">
      <c r="A6" s="73"/>
      <c r="B6" s="76"/>
      <c r="C6" s="94"/>
      <c r="D6" s="94"/>
      <c r="E6" s="88" t="s">
        <v>13</v>
      </c>
      <c r="F6" s="89"/>
      <c r="G6" s="25" t="s">
        <v>45</v>
      </c>
      <c r="H6" s="11"/>
      <c r="I6" s="12"/>
      <c r="J6" s="17"/>
      <c r="K6" s="14">
        <v>99.73</v>
      </c>
      <c r="L6" s="10">
        <f t="shared" si="1"/>
        <v>0</v>
      </c>
      <c r="M6" s="11">
        <f t="shared" si="2"/>
        <v>0</v>
      </c>
      <c r="N6" s="12">
        <f t="shared" si="3"/>
        <v>0</v>
      </c>
      <c r="O6" s="17">
        <f t="shared" si="4"/>
        <v>0</v>
      </c>
      <c r="P6" s="14">
        <f t="shared" si="5"/>
        <v>99.73</v>
      </c>
    </row>
    <row r="7" spans="1:16" x14ac:dyDescent="0.25">
      <c r="A7" s="73"/>
      <c r="B7" s="77"/>
      <c r="C7" s="95"/>
      <c r="D7" s="95"/>
      <c r="E7" s="88" t="s">
        <v>17</v>
      </c>
      <c r="F7" s="89"/>
      <c r="G7" s="10">
        <v>100</v>
      </c>
      <c r="H7" s="11"/>
      <c r="I7" s="12"/>
      <c r="J7" s="17"/>
      <c r="K7" s="14">
        <v>98.53</v>
      </c>
      <c r="L7" s="10">
        <f t="shared" si="1"/>
        <v>100</v>
      </c>
      <c r="M7" s="11">
        <f t="shared" si="2"/>
        <v>0</v>
      </c>
      <c r="N7" s="12">
        <f t="shared" si="3"/>
        <v>0</v>
      </c>
      <c r="O7" s="17">
        <f t="shared" si="4"/>
        <v>0</v>
      </c>
      <c r="P7" s="14">
        <f t="shared" si="5"/>
        <v>98.53</v>
      </c>
    </row>
    <row r="8" spans="1:16" x14ac:dyDescent="0.25">
      <c r="A8" s="73" t="s">
        <v>120</v>
      </c>
      <c r="B8" s="75">
        <v>3</v>
      </c>
      <c r="C8" s="93" t="s">
        <v>18</v>
      </c>
      <c r="D8" s="93" t="s">
        <v>19</v>
      </c>
      <c r="E8" s="84" t="s">
        <v>11</v>
      </c>
      <c r="F8" s="85"/>
      <c r="G8" s="15"/>
      <c r="H8" s="11"/>
      <c r="I8" s="12"/>
      <c r="J8" s="13">
        <v>100</v>
      </c>
      <c r="K8" s="18"/>
      <c r="L8" s="10">
        <f t="shared" si="1"/>
        <v>0</v>
      </c>
      <c r="M8" s="11">
        <f t="shared" si="2"/>
        <v>0</v>
      </c>
      <c r="N8" s="12">
        <f t="shared" si="3"/>
        <v>0</v>
      </c>
      <c r="O8" s="13">
        <f t="shared" si="4"/>
        <v>100</v>
      </c>
      <c r="P8" s="18">
        <f t="shared" si="5"/>
        <v>0</v>
      </c>
    </row>
    <row r="9" spans="1:16" x14ac:dyDescent="0.25">
      <c r="A9" s="73"/>
      <c r="B9" s="76"/>
      <c r="C9" s="94"/>
      <c r="D9" s="94"/>
      <c r="E9" s="86" t="s">
        <v>16</v>
      </c>
      <c r="F9" s="87"/>
      <c r="G9" s="10">
        <v>99.06</v>
      </c>
      <c r="H9" s="11"/>
      <c r="I9" s="12"/>
      <c r="J9" s="17"/>
      <c r="K9" s="14">
        <v>97.59</v>
      </c>
      <c r="L9" s="10">
        <f t="shared" si="1"/>
        <v>99.06</v>
      </c>
      <c r="M9" s="11">
        <f t="shared" si="2"/>
        <v>0</v>
      </c>
      <c r="N9" s="12">
        <f t="shared" si="3"/>
        <v>0</v>
      </c>
      <c r="O9" s="17">
        <f t="shared" si="4"/>
        <v>0</v>
      </c>
      <c r="P9" s="14">
        <f t="shared" si="5"/>
        <v>97.59</v>
      </c>
    </row>
    <row r="10" spans="1:16" x14ac:dyDescent="0.25">
      <c r="A10" s="73"/>
      <c r="B10" s="76"/>
      <c r="C10" s="94"/>
      <c r="D10" s="94"/>
      <c r="E10" s="88" t="s">
        <v>13</v>
      </c>
      <c r="F10" s="89"/>
      <c r="G10" s="25" t="s">
        <v>45</v>
      </c>
      <c r="H10" s="11"/>
      <c r="I10" s="12"/>
      <c r="J10" s="17"/>
      <c r="K10" s="14">
        <v>99.64</v>
      </c>
      <c r="L10" s="10">
        <f t="shared" si="1"/>
        <v>0</v>
      </c>
      <c r="M10" s="11">
        <f t="shared" si="2"/>
        <v>0</v>
      </c>
      <c r="N10" s="12">
        <f t="shared" si="3"/>
        <v>0</v>
      </c>
      <c r="O10" s="17">
        <f t="shared" si="4"/>
        <v>0</v>
      </c>
      <c r="P10" s="14">
        <f t="shared" si="5"/>
        <v>99.64</v>
      </c>
    </row>
    <row r="11" spans="1:16" x14ac:dyDescent="0.25">
      <c r="A11" s="73"/>
      <c r="B11" s="77"/>
      <c r="C11" s="95"/>
      <c r="D11" s="95"/>
      <c r="E11" s="88" t="s">
        <v>17</v>
      </c>
      <c r="F11" s="89"/>
      <c r="G11" s="10">
        <v>100</v>
      </c>
      <c r="H11" s="11"/>
      <c r="I11" s="12"/>
      <c r="J11" s="17"/>
      <c r="K11" s="14">
        <v>98.59</v>
      </c>
      <c r="L11" s="10">
        <f t="shared" si="1"/>
        <v>100</v>
      </c>
      <c r="M11" s="11">
        <f t="shared" si="2"/>
        <v>0</v>
      </c>
      <c r="N11" s="12">
        <f t="shared" si="3"/>
        <v>0</v>
      </c>
      <c r="O11" s="17">
        <f t="shared" si="4"/>
        <v>0</v>
      </c>
      <c r="P11" s="14">
        <f t="shared" si="5"/>
        <v>98.59</v>
      </c>
    </row>
    <row r="12" spans="1:16" x14ac:dyDescent="0.25">
      <c r="A12" s="73" t="s">
        <v>120</v>
      </c>
      <c r="B12" s="75">
        <v>4</v>
      </c>
      <c r="C12" s="99" t="s">
        <v>20</v>
      </c>
      <c r="D12" s="99" t="s">
        <v>21</v>
      </c>
      <c r="E12" s="19" t="s">
        <v>22</v>
      </c>
      <c r="F12" s="19" t="s">
        <v>23</v>
      </c>
      <c r="G12" s="15"/>
      <c r="H12" s="11"/>
      <c r="I12" s="12"/>
      <c r="J12" s="17"/>
      <c r="K12" s="18"/>
      <c r="L12" s="10">
        <f t="shared" si="1"/>
        <v>0</v>
      </c>
      <c r="M12" s="11">
        <f t="shared" si="2"/>
        <v>0</v>
      </c>
      <c r="N12" s="12">
        <f t="shared" si="3"/>
        <v>0</v>
      </c>
      <c r="O12" s="17">
        <f t="shared" si="4"/>
        <v>0</v>
      </c>
      <c r="P12" s="18">
        <f t="shared" si="5"/>
        <v>0</v>
      </c>
    </row>
    <row r="13" spans="1:16" x14ac:dyDescent="0.25">
      <c r="A13" s="73"/>
      <c r="B13" s="76"/>
      <c r="C13" s="100"/>
      <c r="D13" s="100"/>
      <c r="E13" s="8" t="s">
        <v>12</v>
      </c>
      <c r="F13" s="19" t="s">
        <v>23</v>
      </c>
      <c r="G13" s="10">
        <v>47.06</v>
      </c>
      <c r="H13" s="11"/>
      <c r="I13" s="12"/>
      <c r="J13" s="17"/>
      <c r="K13" s="14">
        <v>128</v>
      </c>
      <c r="L13" s="10">
        <f t="shared" si="1"/>
        <v>47.06</v>
      </c>
      <c r="M13" s="11">
        <f t="shared" si="2"/>
        <v>0</v>
      </c>
      <c r="N13" s="12">
        <f t="shared" si="3"/>
        <v>0</v>
      </c>
      <c r="O13" s="17">
        <f t="shared" si="4"/>
        <v>0</v>
      </c>
      <c r="P13" s="14">
        <f t="shared" si="5"/>
        <v>128</v>
      </c>
    </row>
    <row r="14" spans="1:16" x14ac:dyDescent="0.25">
      <c r="A14" s="73"/>
      <c r="B14" s="76"/>
      <c r="C14" s="100"/>
      <c r="D14" s="100"/>
      <c r="E14" s="8" t="s">
        <v>13</v>
      </c>
      <c r="F14" s="19" t="s">
        <v>23</v>
      </c>
      <c r="G14" s="25" t="s">
        <v>45</v>
      </c>
      <c r="H14" s="11"/>
      <c r="I14" s="12"/>
      <c r="J14" s="17"/>
      <c r="K14" s="14">
        <v>1878.72</v>
      </c>
      <c r="L14" s="10">
        <f t="shared" si="1"/>
        <v>0</v>
      </c>
      <c r="M14" s="11">
        <f t="shared" si="2"/>
        <v>0</v>
      </c>
      <c r="N14" s="12">
        <f t="shared" si="3"/>
        <v>0</v>
      </c>
      <c r="O14" s="17">
        <f t="shared" si="4"/>
        <v>0</v>
      </c>
      <c r="P14" s="14">
        <f t="shared" si="5"/>
        <v>1878.72</v>
      </c>
    </row>
    <row r="15" spans="1:16" x14ac:dyDescent="0.25">
      <c r="A15" s="73"/>
      <c r="B15" s="77"/>
      <c r="C15" s="101"/>
      <c r="D15" s="101"/>
      <c r="E15" s="8" t="s">
        <v>17</v>
      </c>
      <c r="F15" s="19" t="s">
        <v>24</v>
      </c>
      <c r="G15" s="10">
        <v>11186</v>
      </c>
      <c r="H15" s="11"/>
      <c r="I15" s="12"/>
      <c r="J15" s="13">
        <v>5179.3500000000004</v>
      </c>
      <c r="K15" s="14">
        <v>6025.09</v>
      </c>
      <c r="L15" s="10">
        <f t="shared" si="1"/>
        <v>11186</v>
      </c>
      <c r="M15" s="11">
        <f t="shared" si="2"/>
        <v>0</v>
      </c>
      <c r="N15" s="12">
        <f t="shared" si="3"/>
        <v>0</v>
      </c>
      <c r="O15" s="13">
        <f t="shared" si="4"/>
        <v>5179.3500000000004</v>
      </c>
      <c r="P15" s="14">
        <f t="shared" si="5"/>
        <v>6025.09</v>
      </c>
    </row>
    <row r="16" spans="1:16" x14ac:dyDescent="0.25">
      <c r="A16" s="73" t="s">
        <v>120</v>
      </c>
      <c r="B16" s="120"/>
      <c r="C16" s="99" t="s">
        <v>25</v>
      </c>
      <c r="D16" s="99" t="s">
        <v>26</v>
      </c>
      <c r="E16" s="19" t="s">
        <v>22</v>
      </c>
      <c r="F16" s="19" t="s">
        <v>23</v>
      </c>
      <c r="G16" s="15"/>
      <c r="H16" s="11"/>
      <c r="I16" s="12"/>
      <c r="J16" s="17"/>
      <c r="K16" s="18"/>
      <c r="L16" s="10">
        <f t="shared" si="1"/>
        <v>0</v>
      </c>
      <c r="M16" s="11">
        <f t="shared" si="2"/>
        <v>0</v>
      </c>
      <c r="N16" s="12">
        <f t="shared" si="3"/>
        <v>0</v>
      </c>
      <c r="O16" s="17">
        <f t="shared" si="4"/>
        <v>0</v>
      </c>
      <c r="P16" s="18">
        <f t="shared" si="5"/>
        <v>0</v>
      </c>
    </row>
    <row r="17" spans="1:16" x14ac:dyDescent="0.25">
      <c r="A17" s="73"/>
      <c r="B17" s="121"/>
      <c r="C17" s="100"/>
      <c r="D17" s="100"/>
      <c r="E17" s="8" t="s">
        <v>12</v>
      </c>
      <c r="F17" s="19" t="s">
        <v>23</v>
      </c>
      <c r="G17" s="10">
        <v>106.79</v>
      </c>
      <c r="H17" s="11"/>
      <c r="I17" s="12"/>
      <c r="J17" s="17"/>
      <c r="K17" s="14">
        <v>204.62</v>
      </c>
      <c r="L17" s="10">
        <f t="shared" si="1"/>
        <v>106.79</v>
      </c>
      <c r="M17" s="11">
        <f t="shared" si="2"/>
        <v>0</v>
      </c>
      <c r="N17" s="12">
        <f t="shared" si="3"/>
        <v>0</v>
      </c>
      <c r="O17" s="17">
        <f t="shared" si="4"/>
        <v>0</v>
      </c>
      <c r="P17" s="14">
        <f t="shared" si="5"/>
        <v>204.62</v>
      </c>
    </row>
    <row r="18" spans="1:16" x14ac:dyDescent="0.25">
      <c r="A18" s="73"/>
      <c r="B18" s="121"/>
      <c r="C18" s="100"/>
      <c r="D18" s="100"/>
      <c r="E18" s="8" t="s">
        <v>13</v>
      </c>
      <c r="F18" s="19" t="s">
        <v>23</v>
      </c>
      <c r="G18" s="25" t="s">
        <v>45</v>
      </c>
      <c r="H18" s="11"/>
      <c r="I18" s="12"/>
      <c r="J18" s="17"/>
      <c r="K18" s="14">
        <v>6612.37</v>
      </c>
      <c r="L18" s="10">
        <f t="shared" si="1"/>
        <v>0</v>
      </c>
      <c r="M18" s="11">
        <f t="shared" si="2"/>
        <v>0</v>
      </c>
      <c r="N18" s="12">
        <f t="shared" si="3"/>
        <v>0</v>
      </c>
      <c r="O18" s="17">
        <f t="shared" si="4"/>
        <v>0</v>
      </c>
      <c r="P18" s="14">
        <f t="shared" si="5"/>
        <v>6612.37</v>
      </c>
    </row>
    <row r="19" spans="1:16" x14ac:dyDescent="0.25">
      <c r="A19" s="73"/>
      <c r="B19" s="122"/>
      <c r="C19" s="101"/>
      <c r="D19" s="101"/>
      <c r="E19" s="8" t="s">
        <v>17</v>
      </c>
      <c r="F19" s="19" t="s">
        <v>24</v>
      </c>
      <c r="G19" s="10">
        <v>18331.52</v>
      </c>
      <c r="H19" s="11"/>
      <c r="I19" s="12"/>
      <c r="J19" s="13">
        <v>21399.71</v>
      </c>
      <c r="K19" s="14">
        <v>19426.330000000002</v>
      </c>
      <c r="L19" s="10">
        <f t="shared" si="1"/>
        <v>18331.52</v>
      </c>
      <c r="M19" s="11">
        <f t="shared" si="2"/>
        <v>0</v>
      </c>
      <c r="N19" s="12">
        <f t="shared" si="3"/>
        <v>0</v>
      </c>
      <c r="O19" s="13">
        <f t="shared" si="4"/>
        <v>21399.71</v>
      </c>
      <c r="P19" s="14">
        <f t="shared" si="5"/>
        <v>19426.330000000002</v>
      </c>
    </row>
    <row r="20" spans="1:16" x14ac:dyDescent="0.25">
      <c r="A20" s="73" t="s">
        <v>120</v>
      </c>
      <c r="B20" s="75">
        <v>6</v>
      </c>
      <c r="C20" s="93" t="s">
        <v>27</v>
      </c>
      <c r="D20" s="96" t="s">
        <v>28</v>
      </c>
      <c r="E20" s="84" t="s">
        <v>11</v>
      </c>
      <c r="F20" s="85"/>
      <c r="G20" s="15"/>
      <c r="H20" s="11"/>
      <c r="I20" s="12"/>
      <c r="J20" s="13">
        <v>51.02</v>
      </c>
      <c r="K20" s="18"/>
      <c r="L20" s="10">
        <f t="shared" si="1"/>
        <v>0</v>
      </c>
      <c r="M20" s="11">
        <f t="shared" si="2"/>
        <v>0</v>
      </c>
      <c r="N20" s="12">
        <f t="shared" si="3"/>
        <v>0</v>
      </c>
      <c r="O20" s="13">
        <f t="shared" si="4"/>
        <v>51.02</v>
      </c>
      <c r="P20" s="18">
        <f t="shared" si="5"/>
        <v>0</v>
      </c>
    </row>
    <row r="21" spans="1:16" x14ac:dyDescent="0.25">
      <c r="A21" s="73"/>
      <c r="B21" s="76"/>
      <c r="C21" s="94"/>
      <c r="D21" s="97"/>
      <c r="E21" s="86" t="s">
        <v>16</v>
      </c>
      <c r="F21" s="87"/>
      <c r="G21" s="10">
        <v>235.33</v>
      </c>
      <c r="H21" s="11"/>
      <c r="I21" s="12"/>
      <c r="J21" s="17"/>
      <c r="K21" s="14">
        <v>86.67</v>
      </c>
      <c r="L21" s="10">
        <f t="shared" si="1"/>
        <v>235.33</v>
      </c>
      <c r="M21" s="11">
        <f t="shared" si="2"/>
        <v>0</v>
      </c>
      <c r="N21" s="12">
        <f t="shared" si="3"/>
        <v>0</v>
      </c>
      <c r="O21" s="17">
        <f t="shared" si="4"/>
        <v>0</v>
      </c>
      <c r="P21" s="14">
        <f t="shared" si="5"/>
        <v>86.67</v>
      </c>
    </row>
    <row r="22" spans="1:16" x14ac:dyDescent="0.25">
      <c r="A22" s="73"/>
      <c r="B22" s="76"/>
      <c r="C22" s="94"/>
      <c r="D22" s="97"/>
      <c r="E22" s="88" t="s">
        <v>13</v>
      </c>
      <c r="F22" s="89"/>
      <c r="G22" s="25" t="s">
        <v>45</v>
      </c>
      <c r="H22" s="11"/>
      <c r="I22" s="12"/>
      <c r="J22" s="17"/>
      <c r="K22" s="14">
        <v>35.83</v>
      </c>
      <c r="L22" s="10">
        <f t="shared" si="1"/>
        <v>0</v>
      </c>
      <c r="M22" s="11">
        <f t="shared" si="2"/>
        <v>0</v>
      </c>
      <c r="N22" s="12">
        <f t="shared" si="3"/>
        <v>0</v>
      </c>
      <c r="O22" s="17">
        <f t="shared" si="4"/>
        <v>0</v>
      </c>
      <c r="P22" s="14">
        <f t="shared" si="5"/>
        <v>35.83</v>
      </c>
    </row>
    <row r="23" spans="1:16" x14ac:dyDescent="0.25">
      <c r="A23" s="73"/>
      <c r="B23" s="77"/>
      <c r="C23" s="95"/>
      <c r="D23" s="98"/>
      <c r="E23" s="88" t="s">
        <v>17</v>
      </c>
      <c r="F23" s="89"/>
      <c r="G23" s="10">
        <v>66.77</v>
      </c>
      <c r="H23" s="11"/>
      <c r="I23" s="12"/>
      <c r="J23" s="17"/>
      <c r="K23" s="14">
        <v>21</v>
      </c>
      <c r="L23" s="10">
        <f t="shared" si="1"/>
        <v>66.77</v>
      </c>
      <c r="M23" s="11">
        <f t="shared" si="2"/>
        <v>0</v>
      </c>
      <c r="N23" s="12">
        <f t="shared" si="3"/>
        <v>0</v>
      </c>
      <c r="O23" s="17">
        <f t="shared" si="4"/>
        <v>0</v>
      </c>
      <c r="P23" s="14">
        <f t="shared" si="5"/>
        <v>21</v>
      </c>
    </row>
    <row r="24" spans="1:16" x14ac:dyDescent="0.25">
      <c r="A24" s="73" t="s">
        <v>120</v>
      </c>
      <c r="B24" s="75">
        <v>7</v>
      </c>
      <c r="C24" s="90" t="s">
        <v>29</v>
      </c>
      <c r="D24" s="81" t="s">
        <v>30</v>
      </c>
      <c r="E24" s="84" t="s">
        <v>11</v>
      </c>
      <c r="F24" s="85"/>
      <c r="G24" s="15"/>
      <c r="H24" s="11"/>
      <c r="I24" s="27">
        <v>100</v>
      </c>
      <c r="J24" s="13">
        <v>99.74</v>
      </c>
      <c r="K24" s="18"/>
      <c r="L24" s="10">
        <f t="shared" si="1"/>
        <v>0</v>
      </c>
      <c r="M24" s="11">
        <f t="shared" si="2"/>
        <v>0</v>
      </c>
      <c r="N24" s="27">
        <f t="shared" si="3"/>
        <v>100</v>
      </c>
      <c r="O24" s="13">
        <f t="shared" si="4"/>
        <v>99.74</v>
      </c>
      <c r="P24" s="18">
        <f t="shared" si="5"/>
        <v>0</v>
      </c>
    </row>
    <row r="25" spans="1:16" x14ac:dyDescent="0.25">
      <c r="A25" s="73"/>
      <c r="B25" s="76"/>
      <c r="C25" s="91"/>
      <c r="D25" s="82"/>
      <c r="E25" s="86" t="s">
        <v>16</v>
      </c>
      <c r="F25" s="87"/>
      <c r="G25" s="10">
        <v>99.95</v>
      </c>
      <c r="H25" s="11"/>
      <c r="I25" s="12"/>
      <c r="J25" s="17"/>
      <c r="K25" s="14">
        <v>98.96</v>
      </c>
      <c r="L25" s="10">
        <f t="shared" si="1"/>
        <v>99.95</v>
      </c>
      <c r="M25" s="11">
        <f t="shared" si="2"/>
        <v>0</v>
      </c>
      <c r="N25" s="12">
        <f t="shared" si="3"/>
        <v>0</v>
      </c>
      <c r="O25" s="17">
        <f t="shared" si="4"/>
        <v>0</v>
      </c>
      <c r="P25" s="14">
        <f t="shared" si="5"/>
        <v>98.96</v>
      </c>
    </row>
    <row r="26" spans="1:16" x14ac:dyDescent="0.25">
      <c r="A26" s="73"/>
      <c r="B26" s="76"/>
      <c r="C26" s="91"/>
      <c r="D26" s="82"/>
      <c r="E26" s="88" t="s">
        <v>13</v>
      </c>
      <c r="F26" s="89"/>
      <c r="G26" s="25" t="s">
        <v>45</v>
      </c>
      <c r="H26" s="11"/>
      <c r="I26" s="12"/>
      <c r="J26" s="17"/>
      <c r="K26" s="14">
        <v>97.4</v>
      </c>
      <c r="L26" s="10">
        <f t="shared" si="1"/>
        <v>0</v>
      </c>
      <c r="M26" s="11">
        <f t="shared" si="2"/>
        <v>0</v>
      </c>
      <c r="N26" s="12">
        <f t="shared" si="3"/>
        <v>0</v>
      </c>
      <c r="O26" s="17">
        <f t="shared" si="4"/>
        <v>0</v>
      </c>
      <c r="P26" s="14">
        <f t="shared" si="5"/>
        <v>97.4</v>
      </c>
    </row>
    <row r="27" spans="1:16" x14ac:dyDescent="0.25">
      <c r="A27" s="73"/>
      <c r="B27" s="77"/>
      <c r="C27" s="92"/>
      <c r="D27" s="83"/>
      <c r="E27" s="88" t="s">
        <v>17</v>
      </c>
      <c r="F27" s="89"/>
      <c r="G27" s="10">
        <v>97.82</v>
      </c>
      <c r="H27" s="11"/>
      <c r="I27" s="12"/>
      <c r="J27" s="17"/>
      <c r="K27" s="14">
        <v>99.82</v>
      </c>
      <c r="L27" s="10">
        <f t="shared" si="1"/>
        <v>97.82</v>
      </c>
      <c r="M27" s="11">
        <f t="shared" si="2"/>
        <v>0</v>
      </c>
      <c r="N27" s="12">
        <f t="shared" si="3"/>
        <v>0</v>
      </c>
      <c r="O27" s="17">
        <f t="shared" si="4"/>
        <v>0</v>
      </c>
      <c r="P27" s="14">
        <f t="shared" si="5"/>
        <v>99.82</v>
      </c>
    </row>
    <row r="28" spans="1:16" x14ac:dyDescent="0.25">
      <c r="A28" s="73" t="s">
        <v>120</v>
      </c>
      <c r="B28" s="75">
        <v>8</v>
      </c>
      <c r="C28" s="78" t="s">
        <v>31</v>
      </c>
      <c r="D28" s="81" t="s">
        <v>32</v>
      </c>
      <c r="E28" s="84" t="s">
        <v>11</v>
      </c>
      <c r="F28" s="85"/>
      <c r="G28" s="15"/>
      <c r="H28" s="11"/>
      <c r="I28" s="27">
        <v>3.94</v>
      </c>
      <c r="J28" s="13">
        <v>0.41</v>
      </c>
      <c r="K28" s="18"/>
      <c r="L28" s="10">
        <f t="shared" si="1"/>
        <v>0</v>
      </c>
      <c r="M28" s="11">
        <f t="shared" si="2"/>
        <v>0</v>
      </c>
      <c r="N28" s="27">
        <f t="shared" si="3"/>
        <v>3.94</v>
      </c>
      <c r="O28" s="13">
        <f t="shared" si="4"/>
        <v>0.41</v>
      </c>
      <c r="P28" s="18">
        <f t="shared" si="5"/>
        <v>0</v>
      </c>
    </row>
    <row r="29" spans="1:16" x14ac:dyDescent="0.25">
      <c r="A29" s="73"/>
      <c r="B29" s="76"/>
      <c r="C29" s="79"/>
      <c r="D29" s="82"/>
      <c r="E29" s="86" t="s">
        <v>16</v>
      </c>
      <c r="F29" s="87"/>
      <c r="G29" s="10">
        <v>2.2000000000000002</v>
      </c>
      <c r="H29" s="11"/>
      <c r="I29" s="12"/>
      <c r="J29" s="17"/>
      <c r="K29" s="14">
        <v>1.59</v>
      </c>
      <c r="L29" s="10">
        <f t="shared" si="1"/>
        <v>2.2000000000000002</v>
      </c>
      <c r="M29" s="11">
        <f t="shared" si="2"/>
        <v>0</v>
      </c>
      <c r="N29" s="12">
        <f t="shared" si="3"/>
        <v>0</v>
      </c>
      <c r="O29" s="17">
        <f t="shared" si="4"/>
        <v>0</v>
      </c>
      <c r="P29" s="14">
        <f t="shared" si="5"/>
        <v>1.59</v>
      </c>
    </row>
    <row r="30" spans="1:16" x14ac:dyDescent="0.25">
      <c r="A30" s="73"/>
      <c r="B30" s="76"/>
      <c r="C30" s="79"/>
      <c r="D30" s="82"/>
      <c r="E30" s="88" t="s">
        <v>13</v>
      </c>
      <c r="F30" s="89"/>
      <c r="G30" s="25" t="s">
        <v>45</v>
      </c>
      <c r="H30" s="11"/>
      <c r="I30" s="12"/>
      <c r="J30" s="17"/>
      <c r="K30" s="14">
        <v>0.21</v>
      </c>
      <c r="L30" s="10">
        <f t="shared" si="1"/>
        <v>0</v>
      </c>
      <c r="M30" s="11">
        <f t="shared" si="2"/>
        <v>0</v>
      </c>
      <c r="N30" s="12">
        <f t="shared" si="3"/>
        <v>0</v>
      </c>
      <c r="O30" s="17">
        <f t="shared" si="4"/>
        <v>0</v>
      </c>
      <c r="P30" s="14">
        <f t="shared" si="5"/>
        <v>0.21</v>
      </c>
    </row>
    <row r="31" spans="1:16" x14ac:dyDescent="0.25">
      <c r="A31" s="73"/>
      <c r="B31" s="77"/>
      <c r="C31" s="80"/>
      <c r="D31" s="83"/>
      <c r="E31" s="88" t="s">
        <v>17</v>
      </c>
      <c r="F31" s="89"/>
      <c r="G31" s="10">
        <v>0.22</v>
      </c>
      <c r="H31" s="11"/>
      <c r="I31" s="12"/>
      <c r="J31" s="17"/>
      <c r="K31" s="14">
        <v>0.19</v>
      </c>
      <c r="L31" s="10">
        <f t="shared" si="1"/>
        <v>0.22</v>
      </c>
      <c r="M31" s="11">
        <f t="shared" si="2"/>
        <v>0</v>
      </c>
      <c r="N31" s="12">
        <f t="shared" si="3"/>
        <v>0</v>
      </c>
      <c r="O31" s="17">
        <f t="shared" si="4"/>
        <v>0</v>
      </c>
      <c r="P31" s="14">
        <f t="shared" si="5"/>
        <v>0.19</v>
      </c>
    </row>
  </sheetData>
  <mergeCells count="55">
    <mergeCell ref="E1:F1"/>
    <mergeCell ref="B2:B3"/>
    <mergeCell ref="C2:C3"/>
    <mergeCell ref="D2:D3"/>
    <mergeCell ref="E2:F2"/>
    <mergeCell ref="E3:F3"/>
    <mergeCell ref="B4:B7"/>
    <mergeCell ref="C4:C7"/>
    <mergeCell ref="D4:D7"/>
    <mergeCell ref="E4:F4"/>
    <mergeCell ref="E5:F5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12:B15"/>
    <mergeCell ref="C12:C15"/>
    <mergeCell ref="D12:D15"/>
    <mergeCell ref="B16:B19"/>
    <mergeCell ref="C16:C19"/>
    <mergeCell ref="D16:D19"/>
    <mergeCell ref="B20:B23"/>
    <mergeCell ref="C20:C23"/>
    <mergeCell ref="D20:D23"/>
    <mergeCell ref="E20:F20"/>
    <mergeCell ref="E21:F21"/>
    <mergeCell ref="E22:F22"/>
    <mergeCell ref="E23:F23"/>
    <mergeCell ref="B24:B27"/>
    <mergeCell ref="C24:C27"/>
    <mergeCell ref="D24:D27"/>
    <mergeCell ref="E24:F24"/>
    <mergeCell ref="E25:F25"/>
    <mergeCell ref="E26:F26"/>
    <mergeCell ref="E27:F27"/>
    <mergeCell ref="B28:B31"/>
    <mergeCell ref="C28:C31"/>
    <mergeCell ref="D28:D31"/>
    <mergeCell ref="E28:F28"/>
    <mergeCell ref="E29:F29"/>
    <mergeCell ref="E30:F30"/>
    <mergeCell ref="E31:F31"/>
    <mergeCell ref="A24:A27"/>
    <mergeCell ref="A28:A31"/>
    <mergeCell ref="A2:A3"/>
    <mergeCell ref="A4:A7"/>
    <mergeCell ref="A8:A11"/>
    <mergeCell ref="A12:A15"/>
    <mergeCell ref="A16:A19"/>
    <mergeCell ref="A20:A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X31"/>
  <sheetViews>
    <sheetView workbookViewId="0">
      <selection activeCell="L3" sqref="L3"/>
    </sheetView>
  </sheetViews>
  <sheetFormatPr defaultRowHeight="13.2" x14ac:dyDescent="0.25"/>
  <cols>
    <col min="1" max="1" width="22.109375" customWidth="1"/>
  </cols>
  <sheetData>
    <row r="1" spans="1:24" ht="40.799999999999997" x14ac:dyDescent="0.25">
      <c r="A1" s="31" t="s">
        <v>115</v>
      </c>
      <c r="B1" s="1" t="s">
        <v>0</v>
      </c>
      <c r="C1" s="22" t="s">
        <v>1</v>
      </c>
      <c r="D1" s="23" t="s">
        <v>2</v>
      </c>
      <c r="E1" s="102" t="s">
        <v>3</v>
      </c>
      <c r="F1" s="103"/>
      <c r="G1" s="3" t="s">
        <v>4</v>
      </c>
      <c r="H1" s="4" t="s">
        <v>5</v>
      </c>
      <c r="I1" s="5" t="s">
        <v>6</v>
      </c>
      <c r="J1" s="6" t="s">
        <v>7</v>
      </c>
      <c r="K1" s="7" t="s">
        <v>8</v>
      </c>
      <c r="L1" s="3" t="s">
        <v>4</v>
      </c>
      <c r="M1" s="4" t="s">
        <v>5</v>
      </c>
      <c r="N1" s="5" t="s">
        <v>6</v>
      </c>
      <c r="O1" s="6" t="s">
        <v>7</v>
      </c>
      <c r="P1" s="7" t="s">
        <v>8</v>
      </c>
      <c r="T1" s="3" t="s">
        <v>4</v>
      </c>
      <c r="U1" s="4" t="s">
        <v>5</v>
      </c>
      <c r="V1" s="5" t="s">
        <v>6</v>
      </c>
      <c r="W1" s="6" t="s">
        <v>7</v>
      </c>
      <c r="X1" s="7" t="s">
        <v>8</v>
      </c>
    </row>
    <row r="2" spans="1:24" x14ac:dyDescent="0.25">
      <c r="A2" s="119" t="s">
        <v>121</v>
      </c>
      <c r="B2" s="75">
        <v>1</v>
      </c>
      <c r="C2" s="104" t="s">
        <v>9</v>
      </c>
      <c r="D2" s="104" t="s">
        <v>54</v>
      </c>
      <c r="E2" s="84" t="s">
        <v>11</v>
      </c>
      <c r="F2" s="85"/>
      <c r="G2" s="10">
        <v>100</v>
      </c>
      <c r="H2" s="16">
        <v>98</v>
      </c>
      <c r="I2" s="12"/>
      <c r="J2" s="13">
        <v>98.6</v>
      </c>
      <c r="K2" s="14">
        <v>99.65</v>
      </c>
      <c r="L2" s="10">
        <f>IF(OR(G2="NA",G2=0),0,(1*G2))</f>
        <v>100</v>
      </c>
      <c r="M2" s="16">
        <f t="shared" ref="M2:P2" si="0">IF(OR(H2="NA",H2=0),0,(1*H2))</f>
        <v>98</v>
      </c>
      <c r="N2" s="12">
        <f t="shared" si="0"/>
        <v>0</v>
      </c>
      <c r="O2" s="13">
        <f t="shared" si="0"/>
        <v>98.6</v>
      </c>
      <c r="P2" s="14">
        <f t="shared" si="0"/>
        <v>99.65</v>
      </c>
      <c r="T2" s="10">
        <v>100</v>
      </c>
      <c r="U2" s="16">
        <v>98</v>
      </c>
      <c r="V2" s="12"/>
      <c r="W2" s="13">
        <v>98.6</v>
      </c>
      <c r="X2" s="14">
        <v>99.65</v>
      </c>
    </row>
    <row r="3" spans="1:24" x14ac:dyDescent="0.25">
      <c r="A3" s="73"/>
      <c r="B3" s="77"/>
      <c r="C3" s="106"/>
      <c r="D3" s="106"/>
      <c r="E3" s="86" t="s">
        <v>16</v>
      </c>
      <c r="F3" s="87"/>
      <c r="G3" s="15"/>
      <c r="H3" s="11"/>
      <c r="I3" s="12"/>
      <c r="J3" s="17"/>
      <c r="K3" s="18"/>
      <c r="L3" s="10">
        <f t="shared" ref="L3:L31" si="1">IF(OR(G3="NA",G3=0),0,(1*G3))</f>
        <v>0</v>
      </c>
      <c r="M3" s="11">
        <f t="shared" ref="M3:M31" si="2">IF(OR(H3="NA",H3=0),0,(1*H3))</f>
        <v>0</v>
      </c>
      <c r="N3" s="12">
        <f t="shared" ref="N3:N31" si="3">IF(OR(I3="NA",I3=0),0,(1*I3))</f>
        <v>0</v>
      </c>
      <c r="O3" s="17">
        <f t="shared" ref="O3:O31" si="4">IF(OR(J3="NA",J3=0),0,(1*J3))</f>
        <v>0</v>
      </c>
      <c r="P3" s="18">
        <f t="shared" ref="P3:P31" si="5">IF(OR(K3="NA",K3=0),0,(1*K3))</f>
        <v>0</v>
      </c>
      <c r="T3" s="15"/>
      <c r="U3" s="11"/>
      <c r="V3" s="12"/>
      <c r="W3" s="17"/>
      <c r="X3" s="18"/>
    </row>
    <row r="4" spans="1:24" x14ac:dyDescent="0.25">
      <c r="A4" s="74" t="s">
        <v>121</v>
      </c>
      <c r="B4" s="75">
        <v>2</v>
      </c>
      <c r="C4" s="93" t="s">
        <v>14</v>
      </c>
      <c r="D4" s="93" t="s">
        <v>15</v>
      </c>
      <c r="E4" s="84" t="s">
        <v>11</v>
      </c>
      <c r="F4" s="85"/>
      <c r="G4" s="15"/>
      <c r="H4" s="16">
        <v>99</v>
      </c>
      <c r="I4" s="12"/>
      <c r="J4" s="13">
        <v>100</v>
      </c>
      <c r="K4" s="18"/>
      <c r="L4" s="10">
        <f t="shared" si="1"/>
        <v>0</v>
      </c>
      <c r="M4" s="16">
        <f t="shared" si="2"/>
        <v>99</v>
      </c>
      <c r="N4" s="12">
        <f t="shared" si="3"/>
        <v>0</v>
      </c>
      <c r="O4" s="13">
        <f t="shared" si="4"/>
        <v>100</v>
      </c>
      <c r="P4" s="18">
        <f t="shared" si="5"/>
        <v>0</v>
      </c>
      <c r="T4" s="15"/>
      <c r="U4" s="16">
        <v>99</v>
      </c>
      <c r="V4" s="12"/>
      <c r="W4" s="13">
        <v>100</v>
      </c>
      <c r="X4" s="18"/>
    </row>
    <row r="5" spans="1:24" x14ac:dyDescent="0.25">
      <c r="A5" s="73"/>
      <c r="B5" s="76"/>
      <c r="C5" s="94"/>
      <c r="D5" s="94"/>
      <c r="E5" s="86" t="s">
        <v>16</v>
      </c>
      <c r="F5" s="87"/>
      <c r="G5" s="10">
        <v>100</v>
      </c>
      <c r="H5" s="11"/>
      <c r="I5" s="12"/>
      <c r="J5" s="17"/>
      <c r="K5" s="14">
        <v>100</v>
      </c>
      <c r="L5" s="10">
        <f t="shared" si="1"/>
        <v>100</v>
      </c>
      <c r="M5" s="11">
        <f t="shared" si="2"/>
        <v>0</v>
      </c>
      <c r="N5" s="12">
        <f t="shared" si="3"/>
        <v>0</v>
      </c>
      <c r="O5" s="17">
        <f t="shared" si="4"/>
        <v>0</v>
      </c>
      <c r="P5" s="14">
        <f t="shared" si="5"/>
        <v>100</v>
      </c>
      <c r="T5" s="10">
        <v>100</v>
      </c>
      <c r="U5" s="11"/>
      <c r="V5" s="12"/>
      <c r="W5" s="17"/>
      <c r="X5" s="14">
        <v>100</v>
      </c>
    </row>
    <row r="6" spans="1:24" x14ac:dyDescent="0.25">
      <c r="A6" s="73"/>
      <c r="B6" s="76"/>
      <c r="C6" s="94"/>
      <c r="D6" s="94"/>
      <c r="E6" s="88" t="s">
        <v>13</v>
      </c>
      <c r="F6" s="89"/>
      <c r="G6" s="25" t="s">
        <v>45</v>
      </c>
      <c r="H6" s="11"/>
      <c r="I6" s="12"/>
      <c r="J6" s="17"/>
      <c r="K6" s="14">
        <v>100</v>
      </c>
      <c r="L6" s="10">
        <f t="shared" si="1"/>
        <v>0</v>
      </c>
      <c r="M6" s="11">
        <f t="shared" si="2"/>
        <v>0</v>
      </c>
      <c r="N6" s="12">
        <f t="shared" si="3"/>
        <v>0</v>
      </c>
      <c r="O6" s="17">
        <f t="shared" si="4"/>
        <v>0</v>
      </c>
      <c r="P6" s="14">
        <f t="shared" si="5"/>
        <v>100</v>
      </c>
      <c r="T6" s="25" t="s">
        <v>45</v>
      </c>
      <c r="U6" s="11"/>
      <c r="V6" s="12"/>
      <c r="W6" s="17"/>
      <c r="X6" s="14">
        <v>100</v>
      </c>
    </row>
    <row r="7" spans="1:24" x14ac:dyDescent="0.25">
      <c r="A7" s="73"/>
      <c r="B7" s="77"/>
      <c r="C7" s="95"/>
      <c r="D7" s="95"/>
      <c r="E7" s="88" t="s">
        <v>17</v>
      </c>
      <c r="F7" s="89"/>
      <c r="G7" s="10">
        <v>100</v>
      </c>
      <c r="H7" s="11"/>
      <c r="I7" s="12"/>
      <c r="J7" s="17"/>
      <c r="K7" s="14">
        <v>100</v>
      </c>
      <c r="L7" s="10">
        <f t="shared" si="1"/>
        <v>100</v>
      </c>
      <c r="M7" s="11">
        <f t="shared" si="2"/>
        <v>0</v>
      </c>
      <c r="N7" s="12">
        <f t="shared" si="3"/>
        <v>0</v>
      </c>
      <c r="O7" s="17">
        <f t="shared" si="4"/>
        <v>0</v>
      </c>
      <c r="P7" s="14">
        <f t="shared" si="5"/>
        <v>100</v>
      </c>
      <c r="T7" s="10">
        <v>100</v>
      </c>
      <c r="U7" s="11"/>
      <c r="V7" s="12"/>
      <c r="W7" s="17"/>
      <c r="X7" s="14">
        <v>100</v>
      </c>
    </row>
    <row r="8" spans="1:24" x14ac:dyDescent="0.25">
      <c r="A8" s="73" t="s">
        <v>121</v>
      </c>
      <c r="B8" s="75">
        <v>3</v>
      </c>
      <c r="C8" s="93" t="s">
        <v>18</v>
      </c>
      <c r="D8" s="93" t="s">
        <v>19</v>
      </c>
      <c r="E8" s="84" t="s">
        <v>11</v>
      </c>
      <c r="F8" s="85"/>
      <c r="G8" s="15"/>
      <c r="H8" s="16">
        <v>99</v>
      </c>
      <c r="I8" s="12"/>
      <c r="J8" s="13">
        <v>100</v>
      </c>
      <c r="K8" s="18"/>
      <c r="L8" s="10">
        <f t="shared" si="1"/>
        <v>0</v>
      </c>
      <c r="M8" s="16">
        <f t="shared" si="2"/>
        <v>99</v>
      </c>
      <c r="N8" s="12">
        <f t="shared" si="3"/>
        <v>0</v>
      </c>
      <c r="O8" s="13">
        <f t="shared" si="4"/>
        <v>100</v>
      </c>
      <c r="P8" s="18">
        <f t="shared" si="5"/>
        <v>0</v>
      </c>
      <c r="T8" s="15"/>
      <c r="U8" s="16">
        <v>99</v>
      </c>
      <c r="V8" s="12"/>
      <c r="W8" s="13">
        <v>100</v>
      </c>
      <c r="X8" s="18"/>
    </row>
    <row r="9" spans="1:24" x14ac:dyDescent="0.25">
      <c r="A9" s="73"/>
      <c r="B9" s="76"/>
      <c r="C9" s="94"/>
      <c r="D9" s="94"/>
      <c r="E9" s="86" t="s">
        <v>16</v>
      </c>
      <c r="F9" s="87"/>
      <c r="G9" s="10">
        <v>100</v>
      </c>
      <c r="H9" s="11"/>
      <c r="I9" s="12"/>
      <c r="J9" s="17"/>
      <c r="K9" s="14">
        <v>100</v>
      </c>
      <c r="L9" s="10">
        <f t="shared" si="1"/>
        <v>100</v>
      </c>
      <c r="M9" s="11">
        <f t="shared" si="2"/>
        <v>0</v>
      </c>
      <c r="N9" s="12">
        <f t="shared" si="3"/>
        <v>0</v>
      </c>
      <c r="O9" s="17">
        <f t="shared" si="4"/>
        <v>0</v>
      </c>
      <c r="P9" s="14">
        <f t="shared" si="5"/>
        <v>100</v>
      </c>
      <c r="T9" s="10">
        <v>100</v>
      </c>
      <c r="U9" s="11"/>
      <c r="V9" s="12"/>
      <c r="W9" s="17"/>
      <c r="X9" s="14">
        <v>100</v>
      </c>
    </row>
    <row r="10" spans="1:24" x14ac:dyDescent="0.25">
      <c r="A10" s="73"/>
      <c r="B10" s="76"/>
      <c r="C10" s="94"/>
      <c r="D10" s="94"/>
      <c r="E10" s="88" t="s">
        <v>13</v>
      </c>
      <c r="F10" s="89"/>
      <c r="G10" s="25" t="s">
        <v>45</v>
      </c>
      <c r="H10" s="11"/>
      <c r="I10" s="12"/>
      <c r="J10" s="17"/>
      <c r="K10" s="14">
        <v>100</v>
      </c>
      <c r="L10" s="10">
        <f t="shared" si="1"/>
        <v>0</v>
      </c>
      <c r="M10" s="11">
        <f t="shared" si="2"/>
        <v>0</v>
      </c>
      <c r="N10" s="12">
        <f t="shared" si="3"/>
        <v>0</v>
      </c>
      <c r="O10" s="17">
        <f t="shared" si="4"/>
        <v>0</v>
      </c>
      <c r="P10" s="14">
        <f t="shared" si="5"/>
        <v>100</v>
      </c>
      <c r="T10" s="25" t="s">
        <v>45</v>
      </c>
      <c r="U10" s="11"/>
      <c r="V10" s="12"/>
      <c r="W10" s="17"/>
      <c r="X10" s="14">
        <v>100</v>
      </c>
    </row>
    <row r="11" spans="1:24" x14ac:dyDescent="0.25">
      <c r="A11" s="73"/>
      <c r="B11" s="77"/>
      <c r="C11" s="95"/>
      <c r="D11" s="95"/>
      <c r="E11" s="88" t="s">
        <v>17</v>
      </c>
      <c r="F11" s="89"/>
      <c r="G11" s="10">
        <v>100</v>
      </c>
      <c r="H11" s="11"/>
      <c r="I11" s="12"/>
      <c r="J11" s="17"/>
      <c r="K11" s="14">
        <v>100</v>
      </c>
      <c r="L11" s="10">
        <f t="shared" si="1"/>
        <v>100</v>
      </c>
      <c r="M11" s="11">
        <f t="shared" si="2"/>
        <v>0</v>
      </c>
      <c r="N11" s="12">
        <f t="shared" si="3"/>
        <v>0</v>
      </c>
      <c r="O11" s="17">
        <f t="shared" si="4"/>
        <v>0</v>
      </c>
      <c r="P11" s="14">
        <f t="shared" si="5"/>
        <v>100</v>
      </c>
      <c r="T11" s="10">
        <v>100</v>
      </c>
      <c r="U11" s="11"/>
      <c r="V11" s="12"/>
      <c r="W11" s="17"/>
      <c r="X11" s="14">
        <v>100</v>
      </c>
    </row>
    <row r="12" spans="1:24" x14ac:dyDescent="0.25">
      <c r="A12" s="73" t="s">
        <v>121</v>
      </c>
      <c r="B12" s="75">
        <v>4</v>
      </c>
      <c r="C12" s="99" t="s">
        <v>20</v>
      </c>
      <c r="D12" s="99" t="s">
        <v>21</v>
      </c>
      <c r="E12" s="21" t="s">
        <v>22</v>
      </c>
      <c r="F12" s="19" t="s">
        <v>23</v>
      </c>
      <c r="G12" s="15"/>
      <c r="H12" s="11"/>
      <c r="I12" s="12"/>
      <c r="J12" s="17"/>
      <c r="K12" s="18"/>
      <c r="L12" s="10">
        <f t="shared" si="1"/>
        <v>0</v>
      </c>
      <c r="M12" s="11">
        <f t="shared" si="2"/>
        <v>0</v>
      </c>
      <c r="N12" s="12">
        <f t="shared" si="3"/>
        <v>0</v>
      </c>
      <c r="O12" s="17">
        <f t="shared" si="4"/>
        <v>0</v>
      </c>
      <c r="P12" s="18">
        <f t="shared" si="5"/>
        <v>0</v>
      </c>
      <c r="T12" s="15"/>
      <c r="U12" s="11"/>
      <c r="V12" s="12"/>
      <c r="W12" s="17"/>
      <c r="X12" s="18"/>
    </row>
    <row r="13" spans="1:24" x14ac:dyDescent="0.25">
      <c r="A13" s="73"/>
      <c r="B13" s="76"/>
      <c r="C13" s="100"/>
      <c r="D13" s="100"/>
      <c r="E13" s="8" t="s">
        <v>12</v>
      </c>
      <c r="F13" s="19" t="s">
        <v>23</v>
      </c>
      <c r="G13" s="10">
        <v>123</v>
      </c>
      <c r="H13" s="24" t="s">
        <v>45</v>
      </c>
      <c r="I13" s="12"/>
      <c r="J13" s="17"/>
      <c r="K13" s="14">
        <v>82.33</v>
      </c>
      <c r="L13" s="10">
        <f t="shared" si="1"/>
        <v>123</v>
      </c>
      <c r="M13" s="24">
        <f t="shared" si="2"/>
        <v>0</v>
      </c>
      <c r="N13" s="12">
        <f t="shared" si="3"/>
        <v>0</v>
      </c>
      <c r="O13" s="17">
        <f t="shared" si="4"/>
        <v>0</v>
      </c>
      <c r="P13" s="14">
        <f t="shared" si="5"/>
        <v>82.33</v>
      </c>
      <c r="T13" s="10">
        <v>123</v>
      </c>
      <c r="U13" s="24" t="s">
        <v>45</v>
      </c>
      <c r="V13" s="12"/>
      <c r="W13" s="17"/>
      <c r="X13" s="14">
        <v>82.33</v>
      </c>
    </row>
    <row r="14" spans="1:24" x14ac:dyDescent="0.25">
      <c r="A14" s="73"/>
      <c r="B14" s="76"/>
      <c r="C14" s="100"/>
      <c r="D14" s="100"/>
      <c r="E14" s="9" t="s">
        <v>13</v>
      </c>
      <c r="F14" s="19" t="s">
        <v>23</v>
      </c>
      <c r="G14" s="25" t="s">
        <v>45</v>
      </c>
      <c r="H14" s="24">
        <v>2203</v>
      </c>
      <c r="I14" s="12"/>
      <c r="J14" s="17"/>
      <c r="K14" s="14">
        <v>2965.67</v>
      </c>
      <c r="L14" s="10">
        <f t="shared" si="1"/>
        <v>0</v>
      </c>
      <c r="M14" s="24">
        <f t="shared" si="2"/>
        <v>2203</v>
      </c>
      <c r="N14" s="12">
        <f t="shared" si="3"/>
        <v>0</v>
      </c>
      <c r="O14" s="17">
        <f t="shared" si="4"/>
        <v>0</v>
      </c>
      <c r="P14" s="14">
        <f t="shared" si="5"/>
        <v>2965.67</v>
      </c>
      <c r="T14" s="25" t="s">
        <v>45</v>
      </c>
      <c r="U14" s="24" t="s">
        <v>55</v>
      </c>
      <c r="V14" s="12"/>
      <c r="W14" s="17"/>
      <c r="X14" s="14">
        <v>2965.67</v>
      </c>
    </row>
    <row r="15" spans="1:24" x14ac:dyDescent="0.25">
      <c r="A15" s="73"/>
      <c r="B15" s="26"/>
      <c r="C15" s="26"/>
      <c r="D15" s="26"/>
      <c r="E15" s="8" t="s">
        <v>17</v>
      </c>
      <c r="F15" s="19" t="s">
        <v>24</v>
      </c>
      <c r="G15" s="10">
        <v>6704.33</v>
      </c>
      <c r="H15" s="11"/>
      <c r="I15" s="12"/>
      <c r="J15" s="13">
        <v>8743.07</v>
      </c>
      <c r="K15" s="14">
        <v>9686</v>
      </c>
      <c r="L15" s="10">
        <f t="shared" si="1"/>
        <v>6704.33</v>
      </c>
      <c r="M15" s="11">
        <f t="shared" si="2"/>
        <v>0</v>
      </c>
      <c r="N15" s="12">
        <f t="shared" si="3"/>
        <v>0</v>
      </c>
      <c r="O15" s="13">
        <f t="shared" si="4"/>
        <v>8743.07</v>
      </c>
      <c r="P15" s="14">
        <f t="shared" si="5"/>
        <v>9686</v>
      </c>
      <c r="T15" s="10">
        <v>6704.33</v>
      </c>
      <c r="U15" s="11"/>
      <c r="V15" s="12"/>
      <c r="W15" s="13">
        <v>8743.07</v>
      </c>
      <c r="X15" s="14">
        <v>9686</v>
      </c>
    </row>
    <row r="16" spans="1:24" x14ac:dyDescent="0.25">
      <c r="A16" s="73" t="s">
        <v>121</v>
      </c>
      <c r="B16" s="75">
        <v>5</v>
      </c>
      <c r="C16" s="99" t="s">
        <v>25</v>
      </c>
      <c r="D16" s="99" t="s">
        <v>26</v>
      </c>
      <c r="E16" s="8" t="s">
        <v>22</v>
      </c>
      <c r="F16" s="19" t="s">
        <v>23</v>
      </c>
      <c r="G16" s="15"/>
      <c r="H16" s="11"/>
      <c r="I16" s="12"/>
      <c r="J16" s="17"/>
      <c r="K16" s="18"/>
      <c r="L16" s="10">
        <f t="shared" si="1"/>
        <v>0</v>
      </c>
      <c r="M16" s="11">
        <f t="shared" si="2"/>
        <v>0</v>
      </c>
      <c r="N16" s="12">
        <f t="shared" si="3"/>
        <v>0</v>
      </c>
      <c r="O16" s="17">
        <f t="shared" si="4"/>
        <v>0</v>
      </c>
      <c r="P16" s="18">
        <f t="shared" si="5"/>
        <v>0</v>
      </c>
      <c r="T16" s="15"/>
      <c r="U16" s="11"/>
      <c r="V16" s="12"/>
      <c r="W16" s="17"/>
      <c r="X16" s="18"/>
    </row>
    <row r="17" spans="1:24" x14ac:dyDescent="0.25">
      <c r="A17" s="73"/>
      <c r="B17" s="76"/>
      <c r="C17" s="100"/>
      <c r="D17" s="100"/>
      <c r="E17" s="8" t="s">
        <v>12</v>
      </c>
      <c r="F17" s="19" t="s">
        <v>23</v>
      </c>
      <c r="G17" s="10">
        <v>155.33000000000001</v>
      </c>
      <c r="H17" s="24" t="s">
        <v>45</v>
      </c>
      <c r="I17" s="12"/>
      <c r="J17" s="17"/>
      <c r="K17" s="14">
        <v>154.33000000000001</v>
      </c>
      <c r="L17" s="10">
        <f t="shared" si="1"/>
        <v>155.33000000000001</v>
      </c>
      <c r="M17" s="24">
        <f t="shared" si="2"/>
        <v>0</v>
      </c>
      <c r="N17" s="12">
        <f t="shared" si="3"/>
        <v>0</v>
      </c>
      <c r="O17" s="17">
        <f t="shared" si="4"/>
        <v>0</v>
      </c>
      <c r="P17" s="14">
        <f t="shared" si="5"/>
        <v>154.33000000000001</v>
      </c>
      <c r="T17" s="10">
        <v>155.33000000000001</v>
      </c>
      <c r="U17" s="24" t="s">
        <v>45</v>
      </c>
      <c r="V17" s="12"/>
      <c r="W17" s="17"/>
      <c r="X17" s="14">
        <v>154.33000000000001</v>
      </c>
    </row>
    <row r="18" spans="1:24" x14ac:dyDescent="0.25">
      <c r="A18" s="73"/>
      <c r="B18" s="76"/>
      <c r="C18" s="100"/>
      <c r="D18" s="100"/>
      <c r="E18" s="8" t="s">
        <v>13</v>
      </c>
      <c r="F18" s="19" t="s">
        <v>23</v>
      </c>
      <c r="G18" s="25" t="s">
        <v>45</v>
      </c>
      <c r="H18" s="24">
        <v>3448</v>
      </c>
      <c r="I18" s="12"/>
      <c r="J18" s="17"/>
      <c r="K18" s="14">
        <v>6150.33</v>
      </c>
      <c r="L18" s="10">
        <f t="shared" si="1"/>
        <v>0</v>
      </c>
      <c r="M18" s="24">
        <f t="shared" si="2"/>
        <v>3448</v>
      </c>
      <c r="N18" s="12">
        <f t="shared" si="3"/>
        <v>0</v>
      </c>
      <c r="O18" s="17">
        <f t="shared" si="4"/>
        <v>0</v>
      </c>
      <c r="P18" s="14">
        <f t="shared" si="5"/>
        <v>6150.33</v>
      </c>
      <c r="T18" s="25" t="s">
        <v>45</v>
      </c>
      <c r="U18" s="24" t="s">
        <v>56</v>
      </c>
      <c r="V18" s="12"/>
      <c r="W18" s="17"/>
      <c r="X18" s="14">
        <v>6150.33</v>
      </c>
    </row>
    <row r="19" spans="1:24" x14ac:dyDescent="0.25">
      <c r="A19" s="73"/>
      <c r="B19" s="77"/>
      <c r="C19" s="101"/>
      <c r="D19" s="101"/>
      <c r="E19" s="8" t="s">
        <v>17</v>
      </c>
      <c r="F19" s="19" t="s">
        <v>24</v>
      </c>
      <c r="G19" s="10">
        <v>14932</v>
      </c>
      <c r="H19" s="11"/>
      <c r="I19" s="12"/>
      <c r="J19" s="13">
        <v>22586.12</v>
      </c>
      <c r="K19" s="14">
        <v>24984</v>
      </c>
      <c r="L19" s="10">
        <f t="shared" si="1"/>
        <v>14932</v>
      </c>
      <c r="M19" s="11">
        <f t="shared" si="2"/>
        <v>0</v>
      </c>
      <c r="N19" s="12">
        <f t="shared" si="3"/>
        <v>0</v>
      </c>
      <c r="O19" s="13">
        <f t="shared" si="4"/>
        <v>22586.12</v>
      </c>
      <c r="P19" s="14">
        <f t="shared" si="5"/>
        <v>24984</v>
      </c>
      <c r="T19" s="10">
        <v>14932</v>
      </c>
      <c r="U19" s="11"/>
      <c r="V19" s="12"/>
      <c r="W19" s="13">
        <v>22586.12</v>
      </c>
      <c r="X19" s="14">
        <v>24984</v>
      </c>
    </row>
    <row r="20" spans="1:24" x14ac:dyDescent="0.25">
      <c r="A20" s="73" t="s">
        <v>121</v>
      </c>
      <c r="B20" s="75">
        <v>6</v>
      </c>
      <c r="C20" s="93" t="s">
        <v>27</v>
      </c>
      <c r="D20" s="96" t="s">
        <v>28</v>
      </c>
      <c r="E20" s="84" t="s">
        <v>11</v>
      </c>
      <c r="F20" s="85"/>
      <c r="G20" s="15"/>
      <c r="H20" s="16">
        <v>107</v>
      </c>
      <c r="I20" s="12"/>
      <c r="J20" s="13">
        <v>40.950000000000003</v>
      </c>
      <c r="K20" s="18"/>
      <c r="L20" s="10">
        <f t="shared" si="1"/>
        <v>0</v>
      </c>
      <c r="M20" s="16">
        <f t="shared" si="2"/>
        <v>107</v>
      </c>
      <c r="N20" s="12">
        <f t="shared" si="3"/>
        <v>0</v>
      </c>
      <c r="O20" s="13">
        <f t="shared" si="4"/>
        <v>40.950000000000003</v>
      </c>
      <c r="P20" s="18">
        <f t="shared" si="5"/>
        <v>0</v>
      </c>
      <c r="T20" s="15"/>
      <c r="U20" s="16">
        <v>107</v>
      </c>
      <c r="V20" s="12"/>
      <c r="W20" s="13">
        <v>40.950000000000003</v>
      </c>
      <c r="X20" s="18"/>
    </row>
    <row r="21" spans="1:24" x14ac:dyDescent="0.25">
      <c r="A21" s="73"/>
      <c r="B21" s="76"/>
      <c r="C21" s="94"/>
      <c r="D21" s="97"/>
      <c r="E21" s="86" t="s">
        <v>16</v>
      </c>
      <c r="F21" s="87"/>
      <c r="G21" s="10">
        <v>240</v>
      </c>
      <c r="H21" s="11"/>
      <c r="I21" s="12"/>
      <c r="J21" s="17"/>
      <c r="K21" s="14">
        <v>91.67</v>
      </c>
      <c r="L21" s="10">
        <f t="shared" si="1"/>
        <v>240</v>
      </c>
      <c r="M21" s="11">
        <f t="shared" si="2"/>
        <v>0</v>
      </c>
      <c r="N21" s="12">
        <f t="shared" si="3"/>
        <v>0</v>
      </c>
      <c r="O21" s="17">
        <f t="shared" si="4"/>
        <v>0</v>
      </c>
      <c r="P21" s="14">
        <f t="shared" si="5"/>
        <v>91.67</v>
      </c>
      <c r="T21" s="10">
        <v>240</v>
      </c>
      <c r="U21" s="11"/>
      <c r="V21" s="12"/>
      <c r="W21" s="17"/>
      <c r="X21" s="14">
        <v>91.67</v>
      </c>
    </row>
    <row r="22" spans="1:24" x14ac:dyDescent="0.25">
      <c r="A22" s="73"/>
      <c r="B22" s="76"/>
      <c r="C22" s="94"/>
      <c r="D22" s="97"/>
      <c r="E22" s="88" t="s">
        <v>13</v>
      </c>
      <c r="F22" s="89"/>
      <c r="G22" s="25" t="s">
        <v>45</v>
      </c>
      <c r="H22" s="11"/>
      <c r="I22" s="12"/>
      <c r="J22" s="17"/>
      <c r="K22" s="14">
        <v>32.33</v>
      </c>
      <c r="L22" s="10">
        <f t="shared" si="1"/>
        <v>0</v>
      </c>
      <c r="M22" s="11">
        <f t="shared" si="2"/>
        <v>0</v>
      </c>
      <c r="N22" s="12">
        <f t="shared" si="3"/>
        <v>0</v>
      </c>
      <c r="O22" s="17">
        <f t="shared" si="4"/>
        <v>0</v>
      </c>
      <c r="P22" s="14">
        <f t="shared" si="5"/>
        <v>32.33</v>
      </c>
      <c r="T22" s="25" t="s">
        <v>45</v>
      </c>
      <c r="U22" s="11"/>
      <c r="V22" s="12"/>
      <c r="W22" s="17"/>
      <c r="X22" s="14">
        <v>32.33</v>
      </c>
    </row>
    <row r="23" spans="1:24" x14ac:dyDescent="0.25">
      <c r="A23" s="73"/>
      <c r="B23" s="77"/>
      <c r="C23" s="95"/>
      <c r="D23" s="98"/>
      <c r="E23" s="88" t="s">
        <v>17</v>
      </c>
      <c r="F23" s="89"/>
      <c r="G23" s="10">
        <v>32</v>
      </c>
      <c r="H23" s="11"/>
      <c r="I23" s="12"/>
      <c r="J23" s="17"/>
      <c r="K23" s="14">
        <v>32</v>
      </c>
      <c r="L23" s="10">
        <f t="shared" si="1"/>
        <v>32</v>
      </c>
      <c r="M23" s="11">
        <f t="shared" si="2"/>
        <v>0</v>
      </c>
      <c r="N23" s="12">
        <f t="shared" si="3"/>
        <v>0</v>
      </c>
      <c r="O23" s="17">
        <f t="shared" si="4"/>
        <v>0</v>
      </c>
      <c r="P23" s="14">
        <f t="shared" si="5"/>
        <v>32</v>
      </c>
      <c r="T23" s="10">
        <v>32</v>
      </c>
      <c r="U23" s="11"/>
      <c r="V23" s="12"/>
      <c r="W23" s="17"/>
      <c r="X23" s="14">
        <v>32</v>
      </c>
    </row>
    <row r="24" spans="1:24" x14ac:dyDescent="0.25">
      <c r="A24" s="74" t="s">
        <v>121</v>
      </c>
      <c r="B24" s="75">
        <v>7</v>
      </c>
      <c r="C24" s="90" t="s">
        <v>29</v>
      </c>
      <c r="D24" s="81" t="s">
        <v>30</v>
      </c>
      <c r="E24" s="84" t="s">
        <v>11</v>
      </c>
      <c r="F24" s="85"/>
      <c r="G24" s="15"/>
      <c r="H24" s="16">
        <v>99.74</v>
      </c>
      <c r="I24" s="12"/>
      <c r="J24" s="13">
        <v>99.81</v>
      </c>
      <c r="K24" s="18"/>
      <c r="L24" s="10">
        <f t="shared" si="1"/>
        <v>0</v>
      </c>
      <c r="M24" s="16">
        <f t="shared" si="2"/>
        <v>99.74</v>
      </c>
      <c r="N24" s="12">
        <f t="shared" si="3"/>
        <v>0</v>
      </c>
      <c r="O24" s="13">
        <f t="shared" si="4"/>
        <v>99.81</v>
      </c>
      <c r="P24" s="18">
        <f t="shared" si="5"/>
        <v>0</v>
      </c>
      <c r="T24" s="15"/>
      <c r="U24" s="16">
        <v>99.74</v>
      </c>
      <c r="V24" s="12"/>
      <c r="W24" s="13">
        <v>99.81</v>
      </c>
      <c r="X24" s="18"/>
    </row>
    <row r="25" spans="1:24" x14ac:dyDescent="0.25">
      <c r="A25" s="73"/>
      <c r="B25" s="76"/>
      <c r="C25" s="91"/>
      <c r="D25" s="82"/>
      <c r="E25" s="86" t="s">
        <v>16</v>
      </c>
      <c r="F25" s="87"/>
      <c r="G25" s="10">
        <v>99.98</v>
      </c>
      <c r="H25" s="11"/>
      <c r="I25" s="12"/>
      <c r="J25" s="17"/>
      <c r="K25" s="14">
        <v>98.88</v>
      </c>
      <c r="L25" s="10">
        <f t="shared" si="1"/>
        <v>99.98</v>
      </c>
      <c r="M25" s="11">
        <f t="shared" si="2"/>
        <v>0</v>
      </c>
      <c r="N25" s="12">
        <f t="shared" si="3"/>
        <v>0</v>
      </c>
      <c r="O25" s="17">
        <f t="shared" si="4"/>
        <v>0</v>
      </c>
      <c r="P25" s="14">
        <f t="shared" si="5"/>
        <v>98.88</v>
      </c>
      <c r="T25" s="10">
        <v>99.98</v>
      </c>
      <c r="U25" s="11"/>
      <c r="V25" s="12"/>
      <c r="W25" s="17"/>
      <c r="X25" s="14">
        <v>98.88</v>
      </c>
    </row>
    <row r="26" spans="1:24" x14ac:dyDescent="0.25">
      <c r="A26" s="73"/>
      <c r="B26" s="76"/>
      <c r="C26" s="91"/>
      <c r="D26" s="82"/>
      <c r="E26" s="88" t="s">
        <v>13</v>
      </c>
      <c r="F26" s="89"/>
      <c r="G26" s="25" t="s">
        <v>45</v>
      </c>
      <c r="H26" s="11"/>
      <c r="I26" s="12"/>
      <c r="J26" s="17"/>
      <c r="K26" s="14">
        <v>98.34</v>
      </c>
      <c r="L26" s="10">
        <f t="shared" si="1"/>
        <v>0</v>
      </c>
      <c r="M26" s="11">
        <f t="shared" si="2"/>
        <v>0</v>
      </c>
      <c r="N26" s="12">
        <f t="shared" si="3"/>
        <v>0</v>
      </c>
      <c r="O26" s="17">
        <f t="shared" si="4"/>
        <v>0</v>
      </c>
      <c r="P26" s="14">
        <f t="shared" si="5"/>
        <v>98.34</v>
      </c>
      <c r="T26" s="25" t="s">
        <v>45</v>
      </c>
      <c r="U26" s="11"/>
      <c r="V26" s="12"/>
      <c r="W26" s="17"/>
      <c r="X26" s="14">
        <v>98.34</v>
      </c>
    </row>
    <row r="27" spans="1:24" x14ac:dyDescent="0.25">
      <c r="A27" s="73"/>
      <c r="B27" s="77"/>
      <c r="C27" s="92"/>
      <c r="D27" s="83"/>
      <c r="E27" s="88" t="s">
        <v>17</v>
      </c>
      <c r="F27" s="89"/>
      <c r="G27" s="10">
        <v>99.94</v>
      </c>
      <c r="H27" s="11"/>
      <c r="I27" s="12"/>
      <c r="J27" s="17"/>
      <c r="K27" s="14">
        <v>99.97</v>
      </c>
      <c r="L27" s="10">
        <f t="shared" si="1"/>
        <v>99.94</v>
      </c>
      <c r="M27" s="11">
        <f t="shared" si="2"/>
        <v>0</v>
      </c>
      <c r="N27" s="12">
        <f t="shared" si="3"/>
        <v>0</v>
      </c>
      <c r="O27" s="17">
        <f t="shared" si="4"/>
        <v>0</v>
      </c>
      <c r="P27" s="14">
        <f t="shared" si="5"/>
        <v>99.97</v>
      </c>
      <c r="T27" s="10">
        <v>99.94</v>
      </c>
      <c r="U27" s="11"/>
      <c r="V27" s="12"/>
      <c r="W27" s="17"/>
      <c r="X27" s="14">
        <v>99.97</v>
      </c>
    </row>
    <row r="28" spans="1:24" x14ac:dyDescent="0.25">
      <c r="A28" s="74" t="s">
        <v>121</v>
      </c>
      <c r="B28" s="75">
        <v>8</v>
      </c>
      <c r="C28" s="78" t="s">
        <v>31</v>
      </c>
      <c r="D28" s="81" t="s">
        <v>32</v>
      </c>
      <c r="E28" s="84" t="s">
        <v>11</v>
      </c>
      <c r="F28" s="85"/>
      <c r="G28" s="15"/>
      <c r="H28" s="16">
        <v>1.07</v>
      </c>
      <c r="I28" s="12"/>
      <c r="J28" s="13">
        <v>0.39</v>
      </c>
      <c r="K28" s="18"/>
      <c r="L28" s="10">
        <f t="shared" si="1"/>
        <v>0</v>
      </c>
      <c r="M28" s="16">
        <f t="shared" si="2"/>
        <v>1.07</v>
      </c>
      <c r="N28" s="12">
        <f t="shared" si="3"/>
        <v>0</v>
      </c>
      <c r="O28" s="13">
        <f t="shared" si="4"/>
        <v>0.39</v>
      </c>
      <c r="P28" s="18">
        <f t="shared" si="5"/>
        <v>0</v>
      </c>
      <c r="T28" s="15"/>
      <c r="U28" s="16">
        <v>1.07</v>
      </c>
      <c r="V28" s="12"/>
      <c r="W28" s="13">
        <v>0.39</v>
      </c>
      <c r="X28" s="18"/>
    </row>
    <row r="29" spans="1:24" x14ac:dyDescent="0.25">
      <c r="A29" s="73"/>
      <c r="B29" s="76"/>
      <c r="C29" s="79"/>
      <c r="D29" s="82"/>
      <c r="E29" s="86" t="s">
        <v>16</v>
      </c>
      <c r="F29" s="87"/>
      <c r="G29" s="10">
        <v>4.95</v>
      </c>
      <c r="H29" s="11"/>
      <c r="I29" s="12"/>
      <c r="J29" s="17"/>
      <c r="K29" s="14">
        <v>2.04</v>
      </c>
      <c r="L29" s="10">
        <f t="shared" si="1"/>
        <v>4.95</v>
      </c>
      <c r="M29" s="11">
        <f t="shared" si="2"/>
        <v>0</v>
      </c>
      <c r="N29" s="12">
        <f t="shared" si="3"/>
        <v>0</v>
      </c>
      <c r="O29" s="17">
        <f t="shared" si="4"/>
        <v>0</v>
      </c>
      <c r="P29" s="14">
        <f t="shared" si="5"/>
        <v>2.04</v>
      </c>
      <c r="T29" s="10">
        <v>4.95</v>
      </c>
      <c r="U29" s="11"/>
      <c r="V29" s="12"/>
      <c r="W29" s="17"/>
      <c r="X29" s="14">
        <v>2.04</v>
      </c>
    </row>
    <row r="30" spans="1:24" x14ac:dyDescent="0.25">
      <c r="A30" s="73"/>
      <c r="B30" s="76"/>
      <c r="C30" s="79"/>
      <c r="D30" s="82"/>
      <c r="E30" s="88" t="s">
        <v>13</v>
      </c>
      <c r="F30" s="89"/>
      <c r="G30" s="25" t="s">
        <v>45</v>
      </c>
      <c r="H30" s="11"/>
      <c r="I30" s="12"/>
      <c r="J30" s="17"/>
      <c r="K30" s="14">
        <v>0.8</v>
      </c>
      <c r="L30" s="10">
        <f t="shared" si="1"/>
        <v>0</v>
      </c>
      <c r="M30" s="11">
        <f t="shared" si="2"/>
        <v>0</v>
      </c>
      <c r="N30" s="12">
        <f t="shared" si="3"/>
        <v>0</v>
      </c>
      <c r="O30" s="17">
        <f t="shared" si="4"/>
        <v>0</v>
      </c>
      <c r="P30" s="14">
        <f t="shared" si="5"/>
        <v>0.8</v>
      </c>
      <c r="T30" s="25" t="s">
        <v>45</v>
      </c>
      <c r="U30" s="11"/>
      <c r="V30" s="12"/>
      <c r="W30" s="17"/>
      <c r="X30" s="14">
        <v>0.8</v>
      </c>
    </row>
    <row r="31" spans="1:24" x14ac:dyDescent="0.25">
      <c r="A31" s="73"/>
      <c r="B31" s="77"/>
      <c r="C31" s="80"/>
      <c r="D31" s="83"/>
      <c r="E31" s="88" t="s">
        <v>17</v>
      </c>
      <c r="F31" s="89"/>
      <c r="G31" s="10">
        <v>0.72</v>
      </c>
      <c r="H31" s="11"/>
      <c r="I31" s="12"/>
      <c r="J31" s="17"/>
      <c r="K31" s="14">
        <v>0.33</v>
      </c>
      <c r="L31" s="10">
        <f t="shared" si="1"/>
        <v>0.72</v>
      </c>
      <c r="M31" s="11">
        <f t="shared" si="2"/>
        <v>0</v>
      </c>
      <c r="N31" s="12">
        <f t="shared" si="3"/>
        <v>0</v>
      </c>
      <c r="O31" s="17">
        <f t="shared" si="4"/>
        <v>0</v>
      </c>
      <c r="P31" s="14">
        <f t="shared" si="5"/>
        <v>0.33</v>
      </c>
      <c r="T31" s="10">
        <v>0.72</v>
      </c>
      <c r="U31" s="11"/>
      <c r="V31" s="12"/>
      <c r="W31" s="17"/>
      <c r="X31" s="14">
        <v>0.33</v>
      </c>
    </row>
  </sheetData>
  <mergeCells count="55">
    <mergeCell ref="B2:B3"/>
    <mergeCell ref="C2:C3"/>
    <mergeCell ref="D2:D3"/>
    <mergeCell ref="E2:F2"/>
    <mergeCell ref="E3:F3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E4:F4"/>
    <mergeCell ref="E5:F5"/>
    <mergeCell ref="B12:B14"/>
    <mergeCell ref="C12:C14"/>
    <mergeCell ref="D12:D14"/>
    <mergeCell ref="B16:B19"/>
    <mergeCell ref="C16:C19"/>
    <mergeCell ref="D16:D19"/>
    <mergeCell ref="B20:B23"/>
    <mergeCell ref="C20:C23"/>
    <mergeCell ref="D20:D23"/>
    <mergeCell ref="E20:F20"/>
    <mergeCell ref="E21:F21"/>
    <mergeCell ref="E22:F22"/>
    <mergeCell ref="E23:F23"/>
    <mergeCell ref="B24:B27"/>
    <mergeCell ref="C24:C27"/>
    <mergeCell ref="D24:D27"/>
    <mergeCell ref="E24:F24"/>
    <mergeCell ref="E25:F25"/>
    <mergeCell ref="E26:F26"/>
    <mergeCell ref="E27:F27"/>
    <mergeCell ref="A20:A23"/>
    <mergeCell ref="A24:A27"/>
    <mergeCell ref="A28:A31"/>
    <mergeCell ref="E1:F1"/>
    <mergeCell ref="A2:A3"/>
    <mergeCell ref="A4:A7"/>
    <mergeCell ref="A8:A11"/>
    <mergeCell ref="A12:A15"/>
    <mergeCell ref="A16:A19"/>
    <mergeCell ref="B28:B31"/>
    <mergeCell ref="C28:C31"/>
    <mergeCell ref="D28:D31"/>
    <mergeCell ref="E28:F28"/>
    <mergeCell ref="E29:F29"/>
    <mergeCell ref="E30:F30"/>
    <mergeCell ref="E31:F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P32"/>
  <sheetViews>
    <sheetView workbookViewId="0">
      <selection activeCell="L3" sqref="L3"/>
    </sheetView>
  </sheetViews>
  <sheetFormatPr defaultRowHeight="13.2" x14ac:dyDescent="0.25"/>
  <cols>
    <col min="1" max="1" width="17.44140625" customWidth="1"/>
  </cols>
  <sheetData>
    <row r="1" spans="1:16" ht="40.799999999999997" x14ac:dyDescent="0.25">
      <c r="A1" s="55" t="s">
        <v>115</v>
      </c>
      <c r="B1" s="56" t="s">
        <v>0</v>
      </c>
      <c r="C1" s="57" t="s">
        <v>1</v>
      </c>
      <c r="D1" s="58" t="s">
        <v>2</v>
      </c>
      <c r="E1" s="123" t="s">
        <v>3</v>
      </c>
      <c r="F1" s="124"/>
      <c r="G1" s="59" t="s">
        <v>4</v>
      </c>
      <c r="H1" s="60" t="s">
        <v>5</v>
      </c>
      <c r="I1" s="61" t="s">
        <v>6</v>
      </c>
      <c r="J1" s="62" t="s">
        <v>7</v>
      </c>
      <c r="K1" s="63" t="s">
        <v>8</v>
      </c>
      <c r="L1" s="59" t="s">
        <v>4</v>
      </c>
      <c r="M1" s="60" t="s">
        <v>5</v>
      </c>
      <c r="N1" s="61" t="s">
        <v>6</v>
      </c>
      <c r="O1" s="62" t="s">
        <v>7</v>
      </c>
      <c r="P1" s="63" t="s">
        <v>8</v>
      </c>
    </row>
    <row r="2" spans="1:16" x14ac:dyDescent="0.25">
      <c r="A2" s="107" t="s">
        <v>122</v>
      </c>
      <c r="B2" s="110">
        <v>1</v>
      </c>
      <c r="C2" s="118" t="s">
        <v>9</v>
      </c>
      <c r="D2" s="118" t="s">
        <v>33</v>
      </c>
      <c r="E2" s="113" t="s">
        <v>11</v>
      </c>
      <c r="F2" s="113"/>
      <c r="G2" s="39">
        <v>100</v>
      </c>
      <c r="H2" s="45">
        <v>100</v>
      </c>
      <c r="I2" s="41"/>
      <c r="J2" s="42">
        <v>97.99</v>
      </c>
      <c r="K2" s="43">
        <v>99.97</v>
      </c>
      <c r="L2" s="39">
        <f>IF(OR(G2="NA",G2=0),0,(1*G2))</f>
        <v>100</v>
      </c>
      <c r="M2" s="68">
        <f t="shared" ref="M2:P2" si="0">IF(OR(H2="NA",H2=0),0,(1*H2))</f>
        <v>100</v>
      </c>
      <c r="N2" s="41">
        <f t="shared" si="0"/>
        <v>0</v>
      </c>
      <c r="O2" s="42">
        <f t="shared" si="0"/>
        <v>97.99</v>
      </c>
      <c r="P2" s="43">
        <f t="shared" si="0"/>
        <v>99.97</v>
      </c>
    </row>
    <row r="3" spans="1:16" x14ac:dyDescent="0.25">
      <c r="A3" s="108"/>
      <c r="B3" s="110"/>
      <c r="C3" s="118"/>
      <c r="D3" s="118"/>
      <c r="E3" s="111" t="s">
        <v>16</v>
      </c>
      <c r="F3" s="111"/>
      <c r="G3" s="44"/>
      <c r="H3" s="40"/>
      <c r="I3" s="41"/>
      <c r="J3" s="46"/>
      <c r="K3" s="47"/>
      <c r="L3" s="39">
        <f t="shared" ref="L3:L32" si="1">IF(OR(G3="NA",G3=0),0,(1*G3))</f>
        <v>0</v>
      </c>
      <c r="M3" s="40">
        <f t="shared" ref="M3:M32" si="2">IF(OR(H3="NA",H3=0),0,(1*H3))</f>
        <v>0</v>
      </c>
      <c r="N3" s="41">
        <f t="shared" ref="N3:N32" si="3">IF(OR(I3="NA",I3=0),0,(1*I3))</f>
        <v>0</v>
      </c>
      <c r="O3" s="46">
        <f t="shared" ref="O3:O32" si="4">IF(OR(J3="NA",J3=0),0,(1*J3))</f>
        <v>0</v>
      </c>
      <c r="P3" s="47">
        <f t="shared" ref="P3:P32" si="5">IF(OR(K3="NA",K3=0),0,(1*K3))</f>
        <v>0</v>
      </c>
    </row>
    <row r="4" spans="1:16" x14ac:dyDescent="0.25">
      <c r="A4" s="108"/>
      <c r="B4" s="110"/>
      <c r="C4" s="118"/>
      <c r="D4" s="118"/>
      <c r="E4" s="114" t="s">
        <v>13</v>
      </c>
      <c r="F4" s="114"/>
      <c r="G4" s="44"/>
      <c r="H4" s="40"/>
      <c r="I4" s="41"/>
      <c r="J4" s="46"/>
      <c r="K4" s="47"/>
      <c r="L4" s="39">
        <f t="shared" si="1"/>
        <v>0</v>
      </c>
      <c r="M4" s="40">
        <f t="shared" si="2"/>
        <v>0</v>
      </c>
      <c r="N4" s="41">
        <f t="shared" si="3"/>
        <v>0</v>
      </c>
      <c r="O4" s="46">
        <f t="shared" si="4"/>
        <v>0</v>
      </c>
      <c r="P4" s="47">
        <f t="shared" si="5"/>
        <v>0</v>
      </c>
    </row>
    <row r="5" spans="1:16" x14ac:dyDescent="0.25">
      <c r="A5" s="108" t="s">
        <v>122</v>
      </c>
      <c r="B5" s="110">
        <v>2</v>
      </c>
      <c r="C5" s="114" t="s">
        <v>14</v>
      </c>
      <c r="D5" s="114" t="s">
        <v>15</v>
      </c>
      <c r="E5" s="113" t="s">
        <v>11</v>
      </c>
      <c r="F5" s="113"/>
      <c r="G5" s="44"/>
      <c r="H5" s="45">
        <v>98.7</v>
      </c>
      <c r="I5" s="41"/>
      <c r="J5" s="42">
        <v>100</v>
      </c>
      <c r="K5" s="47"/>
      <c r="L5" s="39">
        <f t="shared" si="1"/>
        <v>0</v>
      </c>
      <c r="M5" s="68">
        <f t="shared" si="2"/>
        <v>98.7</v>
      </c>
      <c r="N5" s="41">
        <f t="shared" si="3"/>
        <v>0</v>
      </c>
      <c r="O5" s="42">
        <f t="shared" si="4"/>
        <v>100</v>
      </c>
      <c r="P5" s="47">
        <f t="shared" si="5"/>
        <v>0</v>
      </c>
    </row>
    <row r="6" spans="1:16" x14ac:dyDescent="0.25">
      <c r="A6" s="108"/>
      <c r="B6" s="110"/>
      <c r="C6" s="114"/>
      <c r="D6" s="114"/>
      <c r="E6" s="111" t="s">
        <v>16</v>
      </c>
      <c r="F6" s="111"/>
      <c r="G6" s="39">
        <v>100</v>
      </c>
      <c r="H6" s="40"/>
      <c r="I6" s="41"/>
      <c r="J6" s="46"/>
      <c r="K6" s="43">
        <v>100</v>
      </c>
      <c r="L6" s="39">
        <f t="shared" si="1"/>
        <v>100</v>
      </c>
      <c r="M6" s="40">
        <f t="shared" si="2"/>
        <v>0</v>
      </c>
      <c r="N6" s="41">
        <f t="shared" si="3"/>
        <v>0</v>
      </c>
      <c r="O6" s="46">
        <f t="shared" si="4"/>
        <v>0</v>
      </c>
      <c r="P6" s="43">
        <f t="shared" si="5"/>
        <v>100</v>
      </c>
    </row>
    <row r="7" spans="1:16" x14ac:dyDescent="0.25">
      <c r="A7" s="108"/>
      <c r="B7" s="110"/>
      <c r="C7" s="114"/>
      <c r="D7" s="114"/>
      <c r="E7" s="114" t="s">
        <v>13</v>
      </c>
      <c r="F7" s="114"/>
      <c r="G7" s="53" t="s">
        <v>45</v>
      </c>
      <c r="H7" s="40"/>
      <c r="I7" s="41"/>
      <c r="J7" s="46"/>
      <c r="K7" s="43">
        <v>100</v>
      </c>
      <c r="L7" s="39">
        <f t="shared" si="1"/>
        <v>0</v>
      </c>
      <c r="M7" s="40">
        <f t="shared" si="2"/>
        <v>0</v>
      </c>
      <c r="N7" s="41">
        <f t="shared" si="3"/>
        <v>0</v>
      </c>
      <c r="O7" s="46">
        <f t="shared" si="4"/>
        <v>0</v>
      </c>
      <c r="P7" s="43">
        <f t="shared" si="5"/>
        <v>100</v>
      </c>
    </row>
    <row r="8" spans="1:16" x14ac:dyDescent="0.25">
      <c r="A8" s="108"/>
      <c r="B8" s="110"/>
      <c r="C8" s="114"/>
      <c r="D8" s="114"/>
      <c r="E8" s="114" t="s">
        <v>17</v>
      </c>
      <c r="F8" s="114"/>
      <c r="G8" s="39">
        <v>100</v>
      </c>
      <c r="H8" s="40"/>
      <c r="I8" s="41"/>
      <c r="J8" s="46"/>
      <c r="K8" s="43">
        <v>99.67</v>
      </c>
      <c r="L8" s="39">
        <f t="shared" si="1"/>
        <v>100</v>
      </c>
      <c r="M8" s="40">
        <f t="shared" si="2"/>
        <v>0</v>
      </c>
      <c r="N8" s="41">
        <f t="shared" si="3"/>
        <v>0</v>
      </c>
      <c r="O8" s="46">
        <f t="shared" si="4"/>
        <v>0</v>
      </c>
      <c r="P8" s="43">
        <f t="shared" si="5"/>
        <v>99.67</v>
      </c>
    </row>
    <row r="9" spans="1:16" x14ac:dyDescent="0.25">
      <c r="A9" s="108" t="s">
        <v>122</v>
      </c>
      <c r="B9" s="110">
        <v>3</v>
      </c>
      <c r="C9" s="114" t="s">
        <v>18</v>
      </c>
      <c r="D9" s="114" t="s">
        <v>19</v>
      </c>
      <c r="E9" s="113" t="s">
        <v>11</v>
      </c>
      <c r="F9" s="113"/>
      <c r="G9" s="44"/>
      <c r="H9" s="45">
        <v>97.7</v>
      </c>
      <c r="I9" s="41"/>
      <c r="J9" s="42">
        <v>100</v>
      </c>
      <c r="K9" s="47"/>
      <c r="L9" s="39">
        <f t="shared" si="1"/>
        <v>0</v>
      </c>
      <c r="M9" s="68">
        <f t="shared" si="2"/>
        <v>97.7</v>
      </c>
      <c r="N9" s="41">
        <f t="shared" si="3"/>
        <v>0</v>
      </c>
      <c r="O9" s="42">
        <f t="shared" si="4"/>
        <v>100</v>
      </c>
      <c r="P9" s="47">
        <f t="shared" si="5"/>
        <v>0</v>
      </c>
    </row>
    <row r="10" spans="1:16" x14ac:dyDescent="0.25">
      <c r="A10" s="108"/>
      <c r="B10" s="110"/>
      <c r="C10" s="114"/>
      <c r="D10" s="114"/>
      <c r="E10" s="111" t="s">
        <v>16</v>
      </c>
      <c r="F10" s="111"/>
      <c r="G10" s="39">
        <v>100</v>
      </c>
      <c r="H10" s="40"/>
      <c r="I10" s="41"/>
      <c r="J10" s="46"/>
      <c r="K10" s="43">
        <v>100</v>
      </c>
      <c r="L10" s="39">
        <f t="shared" si="1"/>
        <v>100</v>
      </c>
      <c r="M10" s="40">
        <f t="shared" si="2"/>
        <v>0</v>
      </c>
      <c r="N10" s="41">
        <f t="shared" si="3"/>
        <v>0</v>
      </c>
      <c r="O10" s="46">
        <f t="shared" si="4"/>
        <v>0</v>
      </c>
      <c r="P10" s="43">
        <f t="shared" si="5"/>
        <v>100</v>
      </c>
    </row>
    <row r="11" spans="1:16" x14ac:dyDescent="0.25">
      <c r="A11" s="108"/>
      <c r="B11" s="110"/>
      <c r="C11" s="114"/>
      <c r="D11" s="114"/>
      <c r="E11" s="114" t="s">
        <v>13</v>
      </c>
      <c r="F11" s="114"/>
      <c r="G11" s="53" t="s">
        <v>45</v>
      </c>
      <c r="H11" s="40"/>
      <c r="I11" s="41"/>
      <c r="J11" s="46"/>
      <c r="K11" s="43">
        <v>100</v>
      </c>
      <c r="L11" s="39">
        <f t="shared" si="1"/>
        <v>0</v>
      </c>
      <c r="M11" s="40">
        <f t="shared" si="2"/>
        <v>0</v>
      </c>
      <c r="N11" s="41">
        <f t="shared" si="3"/>
        <v>0</v>
      </c>
      <c r="O11" s="46">
        <f t="shared" si="4"/>
        <v>0</v>
      </c>
      <c r="P11" s="43">
        <f t="shared" si="5"/>
        <v>100</v>
      </c>
    </row>
    <row r="12" spans="1:16" x14ac:dyDescent="0.25">
      <c r="A12" s="108"/>
      <c r="B12" s="110"/>
      <c r="C12" s="114"/>
      <c r="D12" s="114"/>
      <c r="E12" s="114" t="s">
        <v>17</v>
      </c>
      <c r="F12" s="114"/>
      <c r="G12" s="39">
        <v>100</v>
      </c>
      <c r="H12" s="40"/>
      <c r="I12" s="41"/>
      <c r="J12" s="46"/>
      <c r="K12" s="43">
        <v>100</v>
      </c>
      <c r="L12" s="39">
        <f t="shared" si="1"/>
        <v>100</v>
      </c>
      <c r="M12" s="40">
        <f t="shared" si="2"/>
        <v>0</v>
      </c>
      <c r="N12" s="41">
        <f t="shared" si="3"/>
        <v>0</v>
      </c>
      <c r="O12" s="46">
        <f t="shared" si="4"/>
        <v>0</v>
      </c>
      <c r="P12" s="43">
        <f t="shared" si="5"/>
        <v>100</v>
      </c>
    </row>
    <row r="13" spans="1:16" x14ac:dyDescent="0.25">
      <c r="A13" s="108" t="s">
        <v>122</v>
      </c>
      <c r="B13" s="110">
        <v>4</v>
      </c>
      <c r="C13" s="117" t="s">
        <v>20</v>
      </c>
      <c r="D13" s="117" t="s">
        <v>21</v>
      </c>
      <c r="E13" s="49" t="s">
        <v>22</v>
      </c>
      <c r="F13" s="50" t="s">
        <v>23</v>
      </c>
      <c r="G13" s="44"/>
      <c r="H13" s="40"/>
      <c r="I13" s="41"/>
      <c r="J13" s="46"/>
      <c r="K13" s="47"/>
      <c r="L13" s="39">
        <f t="shared" si="1"/>
        <v>0</v>
      </c>
      <c r="M13" s="40">
        <f t="shared" si="2"/>
        <v>0</v>
      </c>
      <c r="N13" s="41">
        <f t="shared" si="3"/>
        <v>0</v>
      </c>
      <c r="O13" s="46">
        <f t="shared" si="4"/>
        <v>0</v>
      </c>
      <c r="P13" s="47">
        <f t="shared" si="5"/>
        <v>0</v>
      </c>
    </row>
    <row r="14" spans="1:16" x14ac:dyDescent="0.25">
      <c r="A14" s="108"/>
      <c r="B14" s="110"/>
      <c r="C14" s="117"/>
      <c r="D14" s="117"/>
      <c r="E14" s="49" t="s">
        <v>12</v>
      </c>
      <c r="F14" s="50" t="s">
        <v>23</v>
      </c>
      <c r="G14" s="39">
        <v>86</v>
      </c>
      <c r="H14" s="45">
        <v>66.7</v>
      </c>
      <c r="I14" s="41"/>
      <c r="J14" s="46"/>
      <c r="K14" s="43">
        <v>100.01</v>
      </c>
      <c r="L14" s="39">
        <f t="shared" si="1"/>
        <v>86</v>
      </c>
      <c r="M14" s="68">
        <f t="shared" si="2"/>
        <v>66.7</v>
      </c>
      <c r="N14" s="41">
        <f t="shared" si="3"/>
        <v>0</v>
      </c>
      <c r="O14" s="46">
        <f t="shared" si="4"/>
        <v>0</v>
      </c>
      <c r="P14" s="43">
        <f t="shared" si="5"/>
        <v>100.01</v>
      </c>
    </row>
    <row r="15" spans="1:16" x14ac:dyDescent="0.25">
      <c r="A15" s="108"/>
      <c r="B15" s="110"/>
      <c r="C15" s="117"/>
      <c r="D15" s="117"/>
      <c r="E15" s="49" t="s">
        <v>13</v>
      </c>
      <c r="F15" s="50" t="s">
        <v>23</v>
      </c>
      <c r="G15" s="53" t="s">
        <v>45</v>
      </c>
      <c r="H15" s="45">
        <v>811</v>
      </c>
      <c r="I15" s="41"/>
      <c r="J15" s="46"/>
      <c r="K15" s="43">
        <v>2763.08</v>
      </c>
      <c r="L15" s="39">
        <f t="shared" si="1"/>
        <v>0</v>
      </c>
      <c r="M15" s="68">
        <f t="shared" si="2"/>
        <v>811</v>
      </c>
      <c r="N15" s="41">
        <f t="shared" si="3"/>
        <v>0</v>
      </c>
      <c r="O15" s="46">
        <f t="shared" si="4"/>
        <v>0</v>
      </c>
      <c r="P15" s="43">
        <f t="shared" si="5"/>
        <v>2763.08</v>
      </c>
    </row>
    <row r="16" spans="1:16" x14ac:dyDescent="0.25">
      <c r="A16" s="108"/>
      <c r="B16" s="110"/>
      <c r="C16" s="117"/>
      <c r="D16" s="117"/>
      <c r="E16" s="49" t="s">
        <v>17</v>
      </c>
      <c r="F16" s="50" t="s">
        <v>24</v>
      </c>
      <c r="G16" s="39">
        <v>1826.41</v>
      </c>
      <c r="H16" s="45">
        <v>1978.3</v>
      </c>
      <c r="I16" s="41"/>
      <c r="J16" s="42">
        <v>5538.64</v>
      </c>
      <c r="K16" s="43">
        <v>5409.79</v>
      </c>
      <c r="L16" s="39">
        <f t="shared" si="1"/>
        <v>1826.41</v>
      </c>
      <c r="M16" s="68">
        <f t="shared" si="2"/>
        <v>1978.3</v>
      </c>
      <c r="N16" s="41">
        <f t="shared" si="3"/>
        <v>0</v>
      </c>
      <c r="O16" s="42">
        <f t="shared" si="4"/>
        <v>5538.64</v>
      </c>
      <c r="P16" s="43">
        <f t="shared" si="5"/>
        <v>5409.79</v>
      </c>
    </row>
    <row r="17" spans="1:16" x14ac:dyDescent="0.25">
      <c r="A17" s="108" t="s">
        <v>122</v>
      </c>
      <c r="B17" s="110">
        <v>5</v>
      </c>
      <c r="C17" s="117" t="s">
        <v>25</v>
      </c>
      <c r="D17" s="117" t="s">
        <v>26</v>
      </c>
      <c r="E17" s="49" t="s">
        <v>22</v>
      </c>
      <c r="F17" s="50" t="s">
        <v>23</v>
      </c>
      <c r="G17" s="44"/>
      <c r="H17" s="40"/>
      <c r="I17" s="41"/>
      <c r="J17" s="46"/>
      <c r="K17" s="47"/>
      <c r="L17" s="39">
        <f t="shared" si="1"/>
        <v>0</v>
      </c>
      <c r="M17" s="40">
        <f t="shared" si="2"/>
        <v>0</v>
      </c>
      <c r="N17" s="41">
        <f t="shared" si="3"/>
        <v>0</v>
      </c>
      <c r="O17" s="46">
        <f t="shared" si="4"/>
        <v>0</v>
      </c>
      <c r="P17" s="47">
        <f t="shared" si="5"/>
        <v>0</v>
      </c>
    </row>
    <row r="18" spans="1:16" x14ac:dyDescent="0.25">
      <c r="A18" s="108"/>
      <c r="B18" s="110"/>
      <c r="C18" s="117"/>
      <c r="D18" s="117"/>
      <c r="E18" s="49" t="s">
        <v>12</v>
      </c>
      <c r="F18" s="50" t="s">
        <v>23</v>
      </c>
      <c r="G18" s="39">
        <v>162</v>
      </c>
      <c r="H18" s="45">
        <v>120</v>
      </c>
      <c r="I18" s="41"/>
      <c r="J18" s="46"/>
      <c r="K18" s="43">
        <v>141.08000000000001</v>
      </c>
      <c r="L18" s="39">
        <f t="shared" si="1"/>
        <v>162</v>
      </c>
      <c r="M18" s="68">
        <f t="shared" si="2"/>
        <v>120</v>
      </c>
      <c r="N18" s="41">
        <f t="shared" si="3"/>
        <v>0</v>
      </c>
      <c r="O18" s="46">
        <f t="shared" si="4"/>
        <v>0</v>
      </c>
      <c r="P18" s="43">
        <f t="shared" si="5"/>
        <v>141.08000000000001</v>
      </c>
    </row>
    <row r="19" spans="1:16" x14ac:dyDescent="0.25">
      <c r="A19" s="108"/>
      <c r="B19" s="110"/>
      <c r="C19" s="117"/>
      <c r="D19" s="117"/>
      <c r="E19" s="49" t="s">
        <v>13</v>
      </c>
      <c r="F19" s="50" t="s">
        <v>23</v>
      </c>
      <c r="G19" s="53" t="s">
        <v>45</v>
      </c>
      <c r="H19" s="45">
        <v>2416.6999999999998</v>
      </c>
      <c r="I19" s="41"/>
      <c r="J19" s="46"/>
      <c r="K19" s="43">
        <v>4282.9799999999996</v>
      </c>
      <c r="L19" s="39">
        <f t="shared" si="1"/>
        <v>0</v>
      </c>
      <c r="M19" s="68">
        <f t="shared" si="2"/>
        <v>2416.6999999999998</v>
      </c>
      <c r="N19" s="41">
        <f t="shared" si="3"/>
        <v>0</v>
      </c>
      <c r="O19" s="46">
        <f t="shared" si="4"/>
        <v>0</v>
      </c>
      <c r="P19" s="43">
        <f t="shared" si="5"/>
        <v>4282.9799999999996</v>
      </c>
    </row>
    <row r="20" spans="1:16" x14ac:dyDescent="0.25">
      <c r="A20" s="108"/>
      <c r="B20" s="110"/>
      <c r="C20" s="117"/>
      <c r="D20" s="117"/>
      <c r="E20" s="49" t="s">
        <v>17</v>
      </c>
      <c r="F20" s="50" t="s">
        <v>24</v>
      </c>
      <c r="G20" s="39">
        <v>6502.63</v>
      </c>
      <c r="H20" s="45">
        <v>8176.7</v>
      </c>
      <c r="I20" s="41"/>
      <c r="J20" s="42">
        <v>20802.669999999998</v>
      </c>
      <c r="K20" s="43">
        <v>15975.38</v>
      </c>
      <c r="L20" s="39">
        <f t="shared" si="1"/>
        <v>6502.63</v>
      </c>
      <c r="M20" s="68">
        <f t="shared" si="2"/>
        <v>8176.7</v>
      </c>
      <c r="N20" s="41">
        <f t="shared" si="3"/>
        <v>0</v>
      </c>
      <c r="O20" s="42">
        <f t="shared" si="4"/>
        <v>20802.669999999998</v>
      </c>
      <c r="P20" s="43">
        <f t="shared" si="5"/>
        <v>15975.38</v>
      </c>
    </row>
    <row r="21" spans="1:16" x14ac:dyDescent="0.25">
      <c r="A21" s="108" t="s">
        <v>122</v>
      </c>
      <c r="B21" s="110">
        <v>6</v>
      </c>
      <c r="C21" s="114" t="s">
        <v>27</v>
      </c>
      <c r="D21" s="113" t="s">
        <v>28</v>
      </c>
      <c r="E21" s="113" t="s">
        <v>11</v>
      </c>
      <c r="F21" s="113"/>
      <c r="G21" s="44"/>
      <c r="H21" s="45">
        <v>78.7</v>
      </c>
      <c r="I21" s="41"/>
      <c r="J21" s="42">
        <v>46.22</v>
      </c>
      <c r="K21" s="47"/>
      <c r="L21" s="39">
        <f t="shared" si="1"/>
        <v>0</v>
      </c>
      <c r="M21" s="68">
        <f t="shared" si="2"/>
        <v>78.7</v>
      </c>
      <c r="N21" s="41">
        <f t="shared" si="3"/>
        <v>0</v>
      </c>
      <c r="O21" s="42">
        <f t="shared" si="4"/>
        <v>46.22</v>
      </c>
      <c r="P21" s="47">
        <f t="shared" si="5"/>
        <v>0</v>
      </c>
    </row>
    <row r="22" spans="1:16" x14ac:dyDescent="0.25">
      <c r="A22" s="108"/>
      <c r="B22" s="110"/>
      <c r="C22" s="114"/>
      <c r="D22" s="113"/>
      <c r="E22" s="111" t="s">
        <v>16</v>
      </c>
      <c r="F22" s="111"/>
      <c r="G22" s="39">
        <v>222</v>
      </c>
      <c r="H22" s="40"/>
      <c r="I22" s="41"/>
      <c r="J22" s="46"/>
      <c r="K22" s="43">
        <v>170.83</v>
      </c>
      <c r="L22" s="39">
        <f t="shared" si="1"/>
        <v>222</v>
      </c>
      <c r="M22" s="40">
        <f t="shared" si="2"/>
        <v>0</v>
      </c>
      <c r="N22" s="41">
        <f t="shared" si="3"/>
        <v>0</v>
      </c>
      <c r="O22" s="46">
        <f t="shared" si="4"/>
        <v>0</v>
      </c>
      <c r="P22" s="43">
        <f t="shared" si="5"/>
        <v>170.83</v>
      </c>
    </row>
    <row r="23" spans="1:16" x14ac:dyDescent="0.25">
      <c r="A23" s="108"/>
      <c r="B23" s="110"/>
      <c r="C23" s="114"/>
      <c r="D23" s="113"/>
      <c r="E23" s="114" t="s">
        <v>13</v>
      </c>
      <c r="F23" s="114"/>
      <c r="G23" s="53" t="s">
        <v>45</v>
      </c>
      <c r="H23" s="40"/>
      <c r="I23" s="41"/>
      <c r="J23" s="46"/>
      <c r="K23" s="43">
        <v>82.5</v>
      </c>
      <c r="L23" s="39">
        <f t="shared" si="1"/>
        <v>0</v>
      </c>
      <c r="M23" s="40">
        <f t="shared" si="2"/>
        <v>0</v>
      </c>
      <c r="N23" s="41">
        <f t="shared" si="3"/>
        <v>0</v>
      </c>
      <c r="O23" s="46">
        <f t="shared" si="4"/>
        <v>0</v>
      </c>
      <c r="P23" s="43">
        <f t="shared" si="5"/>
        <v>82.5</v>
      </c>
    </row>
    <row r="24" spans="1:16" x14ac:dyDescent="0.25">
      <c r="A24" s="108"/>
      <c r="B24" s="110"/>
      <c r="C24" s="114"/>
      <c r="D24" s="113"/>
      <c r="E24" s="114" t="s">
        <v>17</v>
      </c>
      <c r="F24" s="114"/>
      <c r="G24" s="39">
        <v>97</v>
      </c>
      <c r="H24" s="40"/>
      <c r="I24" s="41"/>
      <c r="J24" s="46"/>
      <c r="K24" s="43">
        <v>29.83</v>
      </c>
      <c r="L24" s="39">
        <f t="shared" si="1"/>
        <v>97</v>
      </c>
      <c r="M24" s="40">
        <f t="shared" si="2"/>
        <v>0</v>
      </c>
      <c r="N24" s="41">
        <f t="shared" si="3"/>
        <v>0</v>
      </c>
      <c r="O24" s="46">
        <f t="shared" si="4"/>
        <v>0</v>
      </c>
      <c r="P24" s="43">
        <f t="shared" si="5"/>
        <v>29.83</v>
      </c>
    </row>
    <row r="25" spans="1:16" x14ac:dyDescent="0.25">
      <c r="A25" s="108" t="s">
        <v>122</v>
      </c>
      <c r="B25" s="110">
        <v>7</v>
      </c>
      <c r="C25" s="115" t="s">
        <v>29</v>
      </c>
      <c r="D25" s="112" t="s">
        <v>30</v>
      </c>
      <c r="E25" s="113" t="s">
        <v>11</v>
      </c>
      <c r="F25" s="113"/>
      <c r="G25" s="44"/>
      <c r="H25" s="45">
        <v>99.1</v>
      </c>
      <c r="I25" s="41"/>
      <c r="J25" s="42">
        <v>99.85</v>
      </c>
      <c r="K25" s="47"/>
      <c r="L25" s="39">
        <f t="shared" si="1"/>
        <v>0</v>
      </c>
      <c r="M25" s="68">
        <f t="shared" si="2"/>
        <v>99.1</v>
      </c>
      <c r="N25" s="41">
        <f t="shared" si="3"/>
        <v>0</v>
      </c>
      <c r="O25" s="42">
        <f t="shared" si="4"/>
        <v>99.85</v>
      </c>
      <c r="P25" s="47">
        <f t="shared" si="5"/>
        <v>0</v>
      </c>
    </row>
    <row r="26" spans="1:16" x14ac:dyDescent="0.25">
      <c r="A26" s="108"/>
      <c r="B26" s="110"/>
      <c r="C26" s="115"/>
      <c r="D26" s="112"/>
      <c r="E26" s="111" t="s">
        <v>16</v>
      </c>
      <c r="F26" s="111"/>
      <c r="G26" s="39">
        <v>99.84</v>
      </c>
      <c r="H26" s="40"/>
      <c r="I26" s="41"/>
      <c r="J26" s="46"/>
      <c r="K26" s="43">
        <v>97.2</v>
      </c>
      <c r="L26" s="39">
        <f t="shared" si="1"/>
        <v>99.84</v>
      </c>
      <c r="M26" s="40">
        <f t="shared" si="2"/>
        <v>0</v>
      </c>
      <c r="N26" s="41">
        <f t="shared" si="3"/>
        <v>0</v>
      </c>
      <c r="O26" s="46">
        <f t="shared" si="4"/>
        <v>0</v>
      </c>
      <c r="P26" s="43">
        <f t="shared" si="5"/>
        <v>97.2</v>
      </c>
    </row>
    <row r="27" spans="1:16" x14ac:dyDescent="0.25">
      <c r="A27" s="108"/>
      <c r="B27" s="110"/>
      <c r="C27" s="115"/>
      <c r="D27" s="112"/>
      <c r="E27" s="114" t="s">
        <v>13</v>
      </c>
      <c r="F27" s="114"/>
      <c r="G27" s="53" t="s">
        <v>45</v>
      </c>
      <c r="H27" s="40"/>
      <c r="I27" s="41"/>
      <c r="J27" s="46"/>
      <c r="K27" s="43">
        <v>96.57</v>
      </c>
      <c r="L27" s="39">
        <f t="shared" si="1"/>
        <v>0</v>
      </c>
      <c r="M27" s="40">
        <f t="shared" si="2"/>
        <v>0</v>
      </c>
      <c r="N27" s="41">
        <f t="shared" si="3"/>
        <v>0</v>
      </c>
      <c r="O27" s="46">
        <f t="shared" si="4"/>
        <v>0</v>
      </c>
      <c r="P27" s="43">
        <f t="shared" si="5"/>
        <v>96.57</v>
      </c>
    </row>
    <row r="28" spans="1:16" x14ac:dyDescent="0.25">
      <c r="A28" s="108"/>
      <c r="B28" s="54"/>
      <c r="C28" s="54"/>
      <c r="D28" s="54"/>
      <c r="E28" s="114" t="s">
        <v>17</v>
      </c>
      <c r="F28" s="114"/>
      <c r="G28" s="39">
        <v>99.1</v>
      </c>
      <c r="H28" s="40"/>
      <c r="I28" s="41"/>
      <c r="J28" s="46"/>
      <c r="K28" s="43">
        <v>99.43</v>
      </c>
      <c r="L28" s="39">
        <f t="shared" si="1"/>
        <v>99.1</v>
      </c>
      <c r="M28" s="40">
        <f t="shared" si="2"/>
        <v>0</v>
      </c>
      <c r="N28" s="41">
        <f t="shared" si="3"/>
        <v>0</v>
      </c>
      <c r="O28" s="46">
        <f t="shared" si="4"/>
        <v>0</v>
      </c>
      <c r="P28" s="43">
        <f t="shared" si="5"/>
        <v>99.43</v>
      </c>
    </row>
    <row r="29" spans="1:16" x14ac:dyDescent="0.25">
      <c r="A29" s="108" t="s">
        <v>122</v>
      </c>
      <c r="B29" s="110">
        <v>8</v>
      </c>
      <c r="C29" s="111" t="s">
        <v>31</v>
      </c>
      <c r="D29" s="112" t="s">
        <v>32</v>
      </c>
      <c r="E29" s="113" t="s">
        <v>11</v>
      </c>
      <c r="F29" s="113"/>
      <c r="G29" s="44"/>
      <c r="H29" s="45">
        <v>0.9</v>
      </c>
      <c r="I29" s="41"/>
      <c r="J29" s="42">
        <v>0.37</v>
      </c>
      <c r="K29" s="47"/>
      <c r="L29" s="39">
        <f t="shared" si="1"/>
        <v>0</v>
      </c>
      <c r="M29" s="68">
        <f t="shared" si="2"/>
        <v>0.9</v>
      </c>
      <c r="N29" s="41">
        <f t="shared" si="3"/>
        <v>0</v>
      </c>
      <c r="O29" s="42">
        <f t="shared" si="4"/>
        <v>0.37</v>
      </c>
      <c r="P29" s="47">
        <f t="shared" si="5"/>
        <v>0</v>
      </c>
    </row>
    <row r="30" spans="1:16" x14ac:dyDescent="0.25">
      <c r="A30" s="108"/>
      <c r="B30" s="110"/>
      <c r="C30" s="111"/>
      <c r="D30" s="112"/>
      <c r="E30" s="111" t="s">
        <v>16</v>
      </c>
      <c r="F30" s="111"/>
      <c r="G30" s="39">
        <v>1.28</v>
      </c>
      <c r="H30" s="40"/>
      <c r="I30" s="41"/>
      <c r="J30" s="46"/>
      <c r="K30" s="43">
        <v>4.6100000000000003</v>
      </c>
      <c r="L30" s="39">
        <f t="shared" si="1"/>
        <v>1.28</v>
      </c>
      <c r="M30" s="40">
        <f t="shared" si="2"/>
        <v>0</v>
      </c>
      <c r="N30" s="41">
        <f t="shared" si="3"/>
        <v>0</v>
      </c>
      <c r="O30" s="46">
        <f t="shared" si="4"/>
        <v>0</v>
      </c>
      <c r="P30" s="43">
        <f t="shared" si="5"/>
        <v>4.6100000000000003</v>
      </c>
    </row>
    <row r="31" spans="1:16" x14ac:dyDescent="0.25">
      <c r="A31" s="108"/>
      <c r="B31" s="110"/>
      <c r="C31" s="111"/>
      <c r="D31" s="112"/>
      <c r="E31" s="114" t="s">
        <v>13</v>
      </c>
      <c r="F31" s="114"/>
      <c r="G31" s="53" t="s">
        <v>45</v>
      </c>
      <c r="H31" s="40"/>
      <c r="I31" s="41"/>
      <c r="J31" s="46"/>
      <c r="K31" s="43">
        <v>0.44</v>
      </c>
      <c r="L31" s="39">
        <f t="shared" si="1"/>
        <v>0</v>
      </c>
      <c r="M31" s="40">
        <f t="shared" si="2"/>
        <v>0</v>
      </c>
      <c r="N31" s="41">
        <f t="shared" si="3"/>
        <v>0</v>
      </c>
      <c r="O31" s="46">
        <f t="shared" si="4"/>
        <v>0</v>
      </c>
      <c r="P31" s="43">
        <f t="shared" si="5"/>
        <v>0.44</v>
      </c>
    </row>
    <row r="32" spans="1:16" x14ac:dyDescent="0.25">
      <c r="A32" s="108"/>
      <c r="B32" s="110"/>
      <c r="C32" s="111"/>
      <c r="D32" s="112"/>
      <c r="E32" s="114" t="s">
        <v>17</v>
      </c>
      <c r="F32" s="114"/>
      <c r="G32" s="39">
        <v>0.28000000000000003</v>
      </c>
      <c r="H32" s="40"/>
      <c r="I32" s="41"/>
      <c r="J32" s="46"/>
      <c r="K32" s="43">
        <v>0.43</v>
      </c>
      <c r="L32" s="39">
        <f t="shared" si="1"/>
        <v>0.28000000000000003</v>
      </c>
      <c r="M32" s="40">
        <f t="shared" si="2"/>
        <v>0</v>
      </c>
      <c r="N32" s="41">
        <f t="shared" si="3"/>
        <v>0</v>
      </c>
      <c r="O32" s="46">
        <f t="shared" si="4"/>
        <v>0</v>
      </c>
      <c r="P32" s="43">
        <f t="shared" si="5"/>
        <v>0.43</v>
      </c>
    </row>
  </sheetData>
  <mergeCells count="56">
    <mergeCell ref="B2:B4"/>
    <mergeCell ref="C2:C4"/>
    <mergeCell ref="D2:D4"/>
    <mergeCell ref="E2:F2"/>
    <mergeCell ref="E3:F3"/>
    <mergeCell ref="E4:F4"/>
    <mergeCell ref="B5:B8"/>
    <mergeCell ref="C5:C8"/>
    <mergeCell ref="D5:D8"/>
    <mergeCell ref="E5:F5"/>
    <mergeCell ref="E6:F6"/>
    <mergeCell ref="E7:F7"/>
    <mergeCell ref="E8:F8"/>
    <mergeCell ref="B9:B12"/>
    <mergeCell ref="C9:C12"/>
    <mergeCell ref="D9:D12"/>
    <mergeCell ref="E9:F9"/>
    <mergeCell ref="E10:F10"/>
    <mergeCell ref="E11:F11"/>
    <mergeCell ref="E12:F12"/>
    <mergeCell ref="B13:B16"/>
    <mergeCell ref="C13:C16"/>
    <mergeCell ref="D13:D16"/>
    <mergeCell ref="B17:B20"/>
    <mergeCell ref="C17:C20"/>
    <mergeCell ref="D17:D20"/>
    <mergeCell ref="B21:B24"/>
    <mergeCell ref="C21:C24"/>
    <mergeCell ref="D21:D24"/>
    <mergeCell ref="E21:F21"/>
    <mergeCell ref="E22:F22"/>
    <mergeCell ref="E23:F23"/>
    <mergeCell ref="E24:F24"/>
    <mergeCell ref="E32:F32"/>
    <mergeCell ref="B25:B27"/>
    <mergeCell ref="C25:C27"/>
    <mergeCell ref="D25:D27"/>
    <mergeCell ref="E25:F25"/>
    <mergeCell ref="E26:F26"/>
    <mergeCell ref="E27:F27"/>
    <mergeCell ref="A21:A24"/>
    <mergeCell ref="A25:A28"/>
    <mergeCell ref="A29:A32"/>
    <mergeCell ref="A2:A4"/>
    <mergeCell ref="E1:F1"/>
    <mergeCell ref="A5:A8"/>
    <mergeCell ref="A9:A12"/>
    <mergeCell ref="A13:A16"/>
    <mergeCell ref="A17:A20"/>
    <mergeCell ref="E28:F28"/>
    <mergeCell ref="B29:B32"/>
    <mergeCell ref="C29:C32"/>
    <mergeCell ref="D29:D32"/>
    <mergeCell ref="E29:F29"/>
    <mergeCell ref="E30:F30"/>
    <mergeCell ref="E31:F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P31"/>
  <sheetViews>
    <sheetView workbookViewId="0">
      <selection activeCell="L3" sqref="L3"/>
    </sheetView>
  </sheetViews>
  <sheetFormatPr defaultRowHeight="13.2" x14ac:dyDescent="0.25"/>
  <sheetData>
    <row r="1" spans="1:16" ht="40.799999999999997" x14ac:dyDescent="0.25">
      <c r="A1" s="31" t="s">
        <v>115</v>
      </c>
      <c r="B1" s="64" t="s">
        <v>0</v>
      </c>
      <c r="C1" s="57" t="s">
        <v>1</v>
      </c>
      <c r="D1" s="58" t="s">
        <v>2</v>
      </c>
      <c r="E1" s="123" t="s">
        <v>3</v>
      </c>
      <c r="F1" s="124"/>
      <c r="G1" s="59" t="s">
        <v>4</v>
      </c>
      <c r="H1" s="60" t="s">
        <v>5</v>
      </c>
      <c r="I1" s="61" t="s">
        <v>6</v>
      </c>
      <c r="J1" s="62" t="s">
        <v>7</v>
      </c>
      <c r="K1" s="63" t="s">
        <v>8</v>
      </c>
      <c r="L1" s="59" t="s">
        <v>4</v>
      </c>
      <c r="M1" s="60" t="s">
        <v>5</v>
      </c>
      <c r="N1" s="61" t="s">
        <v>6</v>
      </c>
      <c r="O1" s="62" t="s">
        <v>7</v>
      </c>
      <c r="P1" s="63" t="s">
        <v>8</v>
      </c>
    </row>
    <row r="2" spans="1:16" x14ac:dyDescent="0.25">
      <c r="A2" s="107" t="s">
        <v>123</v>
      </c>
      <c r="B2" s="125">
        <v>1</v>
      </c>
      <c r="C2" s="104" t="s">
        <v>9</v>
      </c>
      <c r="D2" s="104" t="s">
        <v>54</v>
      </c>
      <c r="E2" s="84" t="s">
        <v>11</v>
      </c>
      <c r="F2" s="85"/>
      <c r="G2" s="10">
        <v>100</v>
      </c>
      <c r="H2" s="16">
        <v>98.83</v>
      </c>
      <c r="I2" s="12"/>
      <c r="J2" s="13">
        <v>97.87</v>
      </c>
      <c r="K2" s="14">
        <v>99.93</v>
      </c>
      <c r="L2" s="10">
        <f>IF(OR(G2="NA",G2=0),0,(1*G2))</f>
        <v>100</v>
      </c>
      <c r="M2" s="16">
        <f t="shared" ref="M2:P2" si="0">IF(OR(H2="NA",H2=0),0,(1*H2))</f>
        <v>98.83</v>
      </c>
      <c r="N2" s="12">
        <f t="shared" si="0"/>
        <v>0</v>
      </c>
      <c r="O2" s="13">
        <f t="shared" si="0"/>
        <v>97.87</v>
      </c>
      <c r="P2" s="14">
        <f t="shared" si="0"/>
        <v>99.93</v>
      </c>
    </row>
    <row r="3" spans="1:16" x14ac:dyDescent="0.25">
      <c r="A3" s="108"/>
      <c r="B3" s="127"/>
      <c r="C3" s="106"/>
      <c r="D3" s="106"/>
      <c r="E3" s="86" t="s">
        <v>16</v>
      </c>
      <c r="F3" s="87"/>
      <c r="G3" s="15"/>
      <c r="H3" s="11"/>
      <c r="I3" s="12"/>
      <c r="J3" s="17"/>
      <c r="K3" s="18"/>
      <c r="L3" s="10">
        <f t="shared" ref="L3:L31" si="1">IF(OR(G3="NA",G3=0),0,(1*G3))</f>
        <v>0</v>
      </c>
      <c r="M3" s="11">
        <f t="shared" ref="M3:M31" si="2">IF(OR(H3="NA",H3=0),0,(1*H3))</f>
        <v>0</v>
      </c>
      <c r="N3" s="12">
        <f t="shared" ref="N3:N31" si="3">IF(OR(I3="NA",I3=0),0,(1*I3))</f>
        <v>0</v>
      </c>
      <c r="O3" s="17">
        <f t="shared" ref="O3:O31" si="4">IF(OR(J3="NA",J3=0),0,(1*J3))</f>
        <v>0</v>
      </c>
      <c r="P3" s="18">
        <f t="shared" ref="P3:P31" si="5">IF(OR(K3="NA",K3=0),0,(1*K3))</f>
        <v>0</v>
      </c>
    </row>
    <row r="4" spans="1:16" x14ac:dyDescent="0.25">
      <c r="A4" s="108" t="s">
        <v>123</v>
      </c>
      <c r="B4" s="125">
        <v>2</v>
      </c>
      <c r="C4" s="93" t="s">
        <v>14</v>
      </c>
      <c r="D4" s="93" t="s">
        <v>15</v>
      </c>
      <c r="E4" s="84" t="s">
        <v>11</v>
      </c>
      <c r="F4" s="85"/>
      <c r="G4" s="15"/>
      <c r="H4" s="16">
        <v>83.33</v>
      </c>
      <c r="I4" s="12"/>
      <c r="J4" s="13">
        <v>100</v>
      </c>
      <c r="K4" s="18"/>
      <c r="L4" s="10">
        <f t="shared" si="1"/>
        <v>0</v>
      </c>
      <c r="M4" s="16">
        <f t="shared" si="2"/>
        <v>83.33</v>
      </c>
      <c r="N4" s="12">
        <f t="shared" si="3"/>
        <v>0</v>
      </c>
      <c r="O4" s="13">
        <f t="shared" si="4"/>
        <v>100</v>
      </c>
      <c r="P4" s="18">
        <f t="shared" si="5"/>
        <v>0</v>
      </c>
    </row>
    <row r="5" spans="1:16" x14ac:dyDescent="0.25">
      <c r="A5" s="108"/>
      <c r="B5" s="126"/>
      <c r="C5" s="94"/>
      <c r="D5" s="94"/>
      <c r="E5" s="86" t="s">
        <v>16</v>
      </c>
      <c r="F5" s="87"/>
      <c r="G5" s="10">
        <v>100</v>
      </c>
      <c r="H5" s="11"/>
      <c r="I5" s="12"/>
      <c r="J5" s="17"/>
      <c r="K5" s="14">
        <v>100</v>
      </c>
      <c r="L5" s="10">
        <f t="shared" si="1"/>
        <v>100</v>
      </c>
      <c r="M5" s="11">
        <f t="shared" si="2"/>
        <v>0</v>
      </c>
      <c r="N5" s="12">
        <f t="shared" si="3"/>
        <v>0</v>
      </c>
      <c r="O5" s="17">
        <f t="shared" si="4"/>
        <v>0</v>
      </c>
      <c r="P5" s="14">
        <f t="shared" si="5"/>
        <v>100</v>
      </c>
    </row>
    <row r="6" spans="1:16" x14ac:dyDescent="0.25">
      <c r="A6" s="108"/>
      <c r="B6" s="126"/>
      <c r="C6" s="94"/>
      <c r="D6" s="94"/>
      <c r="E6" s="88" t="s">
        <v>13</v>
      </c>
      <c r="F6" s="89"/>
      <c r="G6" s="25" t="s">
        <v>45</v>
      </c>
      <c r="H6" s="11"/>
      <c r="I6" s="12"/>
      <c r="J6" s="17"/>
      <c r="K6" s="14">
        <v>100</v>
      </c>
      <c r="L6" s="10">
        <f t="shared" si="1"/>
        <v>0</v>
      </c>
      <c r="M6" s="11">
        <f t="shared" si="2"/>
        <v>0</v>
      </c>
      <c r="N6" s="12">
        <f t="shared" si="3"/>
        <v>0</v>
      </c>
      <c r="O6" s="17">
        <f t="shared" si="4"/>
        <v>0</v>
      </c>
      <c r="P6" s="14">
        <f t="shared" si="5"/>
        <v>100</v>
      </c>
    </row>
    <row r="7" spans="1:16" x14ac:dyDescent="0.25">
      <c r="A7" s="108"/>
      <c r="B7" s="127"/>
      <c r="C7" s="95"/>
      <c r="D7" s="95"/>
      <c r="E7" s="88" t="s">
        <v>17</v>
      </c>
      <c r="F7" s="89"/>
      <c r="G7" s="10">
        <v>100</v>
      </c>
      <c r="H7" s="11"/>
      <c r="I7" s="12"/>
      <c r="J7" s="17"/>
      <c r="K7" s="14">
        <v>100</v>
      </c>
      <c r="L7" s="10">
        <f t="shared" si="1"/>
        <v>100</v>
      </c>
      <c r="M7" s="11">
        <f t="shared" si="2"/>
        <v>0</v>
      </c>
      <c r="N7" s="12">
        <f t="shared" si="3"/>
        <v>0</v>
      </c>
      <c r="O7" s="17">
        <f t="shared" si="4"/>
        <v>0</v>
      </c>
      <c r="P7" s="14">
        <f t="shared" si="5"/>
        <v>100</v>
      </c>
    </row>
    <row r="8" spans="1:16" x14ac:dyDescent="0.25">
      <c r="A8" s="108" t="s">
        <v>123</v>
      </c>
      <c r="B8" s="125">
        <v>3</v>
      </c>
      <c r="C8" s="93" t="s">
        <v>18</v>
      </c>
      <c r="D8" s="93" t="s">
        <v>19</v>
      </c>
      <c r="E8" s="84" t="s">
        <v>11</v>
      </c>
      <c r="F8" s="85"/>
      <c r="G8" s="15"/>
      <c r="H8" s="16">
        <v>86.67</v>
      </c>
      <c r="I8" s="12"/>
      <c r="J8" s="13">
        <v>100</v>
      </c>
      <c r="K8" s="18"/>
      <c r="L8" s="10">
        <f t="shared" si="1"/>
        <v>0</v>
      </c>
      <c r="M8" s="16">
        <f t="shared" si="2"/>
        <v>86.67</v>
      </c>
      <c r="N8" s="12">
        <f t="shared" si="3"/>
        <v>0</v>
      </c>
      <c r="O8" s="13">
        <f t="shared" si="4"/>
        <v>100</v>
      </c>
      <c r="P8" s="18">
        <f t="shared" si="5"/>
        <v>0</v>
      </c>
    </row>
    <row r="9" spans="1:16" x14ac:dyDescent="0.25">
      <c r="A9" s="108"/>
      <c r="B9" s="126"/>
      <c r="C9" s="94"/>
      <c r="D9" s="94"/>
      <c r="E9" s="86" t="s">
        <v>16</v>
      </c>
      <c r="F9" s="87"/>
      <c r="G9" s="10">
        <v>100</v>
      </c>
      <c r="H9" s="11"/>
      <c r="I9" s="12"/>
      <c r="J9" s="17"/>
      <c r="K9" s="14">
        <v>100</v>
      </c>
      <c r="L9" s="10">
        <f t="shared" si="1"/>
        <v>100</v>
      </c>
      <c r="M9" s="11">
        <f t="shared" si="2"/>
        <v>0</v>
      </c>
      <c r="N9" s="12">
        <f t="shared" si="3"/>
        <v>0</v>
      </c>
      <c r="O9" s="17">
        <f t="shared" si="4"/>
        <v>0</v>
      </c>
      <c r="P9" s="14">
        <f t="shared" si="5"/>
        <v>100</v>
      </c>
    </row>
    <row r="10" spans="1:16" x14ac:dyDescent="0.25">
      <c r="A10" s="108"/>
      <c r="B10" s="126"/>
      <c r="C10" s="94"/>
      <c r="D10" s="94"/>
      <c r="E10" s="88" t="s">
        <v>13</v>
      </c>
      <c r="F10" s="89"/>
      <c r="G10" s="25" t="s">
        <v>45</v>
      </c>
      <c r="H10" s="11"/>
      <c r="I10" s="12"/>
      <c r="J10" s="17"/>
      <c r="K10" s="14">
        <v>100</v>
      </c>
      <c r="L10" s="10">
        <f t="shared" si="1"/>
        <v>0</v>
      </c>
      <c r="M10" s="11">
        <f t="shared" si="2"/>
        <v>0</v>
      </c>
      <c r="N10" s="12">
        <f t="shared" si="3"/>
        <v>0</v>
      </c>
      <c r="O10" s="17">
        <f t="shared" si="4"/>
        <v>0</v>
      </c>
      <c r="P10" s="14">
        <f t="shared" si="5"/>
        <v>100</v>
      </c>
    </row>
    <row r="11" spans="1:16" x14ac:dyDescent="0.25">
      <c r="A11" s="108"/>
      <c r="B11" s="127"/>
      <c r="C11" s="95"/>
      <c r="D11" s="95"/>
      <c r="E11" s="88" t="s">
        <v>17</v>
      </c>
      <c r="F11" s="89"/>
      <c r="G11" s="10">
        <v>100</v>
      </c>
      <c r="H11" s="11"/>
      <c r="I11" s="12"/>
      <c r="J11" s="17"/>
      <c r="K11" s="14">
        <v>100</v>
      </c>
      <c r="L11" s="10">
        <f t="shared" si="1"/>
        <v>100</v>
      </c>
      <c r="M11" s="11">
        <f t="shared" si="2"/>
        <v>0</v>
      </c>
      <c r="N11" s="12">
        <f t="shared" si="3"/>
        <v>0</v>
      </c>
      <c r="O11" s="17">
        <f t="shared" si="4"/>
        <v>0</v>
      </c>
      <c r="P11" s="14">
        <f t="shared" si="5"/>
        <v>100</v>
      </c>
    </row>
    <row r="12" spans="1:16" x14ac:dyDescent="0.25">
      <c r="A12" s="108" t="s">
        <v>123</v>
      </c>
      <c r="B12" s="125">
        <v>4</v>
      </c>
      <c r="C12" s="99" t="s">
        <v>20</v>
      </c>
      <c r="D12" s="99" t="s">
        <v>21</v>
      </c>
      <c r="E12" s="8" t="s">
        <v>22</v>
      </c>
      <c r="F12" s="19" t="s">
        <v>23</v>
      </c>
      <c r="G12" s="15"/>
      <c r="H12" s="11"/>
      <c r="I12" s="12"/>
      <c r="J12" s="17"/>
      <c r="K12" s="18"/>
      <c r="L12" s="10">
        <f t="shared" si="1"/>
        <v>0</v>
      </c>
      <c r="M12" s="11">
        <f t="shared" si="2"/>
        <v>0</v>
      </c>
      <c r="N12" s="12">
        <f t="shared" si="3"/>
        <v>0</v>
      </c>
      <c r="O12" s="17">
        <f t="shared" si="4"/>
        <v>0</v>
      </c>
      <c r="P12" s="18">
        <f t="shared" si="5"/>
        <v>0</v>
      </c>
    </row>
    <row r="13" spans="1:16" x14ac:dyDescent="0.25">
      <c r="A13" s="108"/>
      <c r="B13" s="126"/>
      <c r="C13" s="100"/>
      <c r="D13" s="100"/>
      <c r="E13" s="8" t="s">
        <v>12</v>
      </c>
      <c r="F13" s="19" t="s">
        <v>23</v>
      </c>
      <c r="G13" s="10">
        <v>161.33000000000001</v>
      </c>
      <c r="H13" s="16">
        <v>225.67</v>
      </c>
      <c r="I13" s="12"/>
      <c r="J13" s="17"/>
      <c r="K13" s="14">
        <v>94.06</v>
      </c>
      <c r="L13" s="10">
        <f t="shared" si="1"/>
        <v>161.33000000000001</v>
      </c>
      <c r="M13" s="16">
        <f t="shared" si="2"/>
        <v>225.67</v>
      </c>
      <c r="N13" s="12">
        <f t="shared" si="3"/>
        <v>0</v>
      </c>
      <c r="O13" s="17">
        <f t="shared" si="4"/>
        <v>0</v>
      </c>
      <c r="P13" s="14">
        <f t="shared" si="5"/>
        <v>94.06</v>
      </c>
    </row>
    <row r="14" spans="1:16" x14ac:dyDescent="0.25">
      <c r="A14" s="108"/>
      <c r="B14" s="126"/>
      <c r="C14" s="100"/>
      <c r="D14" s="100"/>
      <c r="E14" s="8" t="s">
        <v>13</v>
      </c>
      <c r="F14" s="19" t="s">
        <v>23</v>
      </c>
      <c r="G14" s="25" t="s">
        <v>45</v>
      </c>
      <c r="H14" s="16">
        <v>1409.67</v>
      </c>
      <c r="I14" s="12"/>
      <c r="J14" s="17"/>
      <c r="K14" s="14">
        <v>1892.77</v>
      </c>
      <c r="L14" s="10">
        <f t="shared" si="1"/>
        <v>0</v>
      </c>
      <c r="M14" s="16">
        <f t="shared" si="2"/>
        <v>1409.67</v>
      </c>
      <c r="N14" s="12">
        <f t="shared" si="3"/>
        <v>0</v>
      </c>
      <c r="O14" s="17">
        <f t="shared" si="4"/>
        <v>0</v>
      </c>
      <c r="P14" s="14">
        <f t="shared" si="5"/>
        <v>1892.77</v>
      </c>
    </row>
    <row r="15" spans="1:16" x14ac:dyDescent="0.25">
      <c r="A15" s="108"/>
      <c r="B15" s="127"/>
      <c r="C15" s="101"/>
      <c r="D15" s="101"/>
      <c r="E15" s="8" t="s">
        <v>17</v>
      </c>
      <c r="F15" s="19" t="s">
        <v>24</v>
      </c>
      <c r="G15" s="10">
        <v>2588.34</v>
      </c>
      <c r="H15" s="16">
        <v>1596</v>
      </c>
      <c r="I15" s="12"/>
      <c r="J15" s="13">
        <v>13124.31</v>
      </c>
      <c r="K15" s="14">
        <v>6155.87</v>
      </c>
      <c r="L15" s="10">
        <f t="shared" si="1"/>
        <v>2588.34</v>
      </c>
      <c r="M15" s="16">
        <f t="shared" si="2"/>
        <v>1596</v>
      </c>
      <c r="N15" s="12">
        <f t="shared" si="3"/>
        <v>0</v>
      </c>
      <c r="O15" s="13">
        <f t="shared" si="4"/>
        <v>13124.31</v>
      </c>
      <c r="P15" s="14">
        <f t="shared" si="5"/>
        <v>6155.87</v>
      </c>
    </row>
    <row r="16" spans="1:16" x14ac:dyDescent="0.25">
      <c r="A16" s="108" t="s">
        <v>123</v>
      </c>
      <c r="B16" s="125">
        <v>5</v>
      </c>
      <c r="C16" s="99" t="s">
        <v>25</v>
      </c>
      <c r="D16" s="99" t="s">
        <v>26</v>
      </c>
      <c r="E16" s="8" t="s">
        <v>22</v>
      </c>
      <c r="F16" s="19" t="s">
        <v>23</v>
      </c>
      <c r="G16" s="15"/>
      <c r="H16" s="11"/>
      <c r="I16" s="12"/>
      <c r="J16" s="17"/>
      <c r="K16" s="18"/>
      <c r="L16" s="10">
        <f t="shared" si="1"/>
        <v>0</v>
      </c>
      <c r="M16" s="11">
        <f t="shared" si="2"/>
        <v>0</v>
      </c>
      <c r="N16" s="12">
        <f t="shared" si="3"/>
        <v>0</v>
      </c>
      <c r="O16" s="17">
        <f t="shared" si="4"/>
        <v>0</v>
      </c>
      <c r="P16" s="18">
        <f t="shared" si="5"/>
        <v>0</v>
      </c>
    </row>
    <row r="17" spans="1:16" x14ac:dyDescent="0.25">
      <c r="A17" s="108"/>
      <c r="B17" s="126"/>
      <c r="C17" s="100"/>
      <c r="D17" s="100"/>
      <c r="E17" s="8" t="s">
        <v>12</v>
      </c>
      <c r="F17" s="19" t="s">
        <v>23</v>
      </c>
      <c r="G17" s="10">
        <v>213</v>
      </c>
      <c r="H17" s="16">
        <v>254.77</v>
      </c>
      <c r="I17" s="12"/>
      <c r="J17" s="17"/>
      <c r="K17" s="14">
        <v>158.58000000000001</v>
      </c>
      <c r="L17" s="10">
        <f t="shared" si="1"/>
        <v>213</v>
      </c>
      <c r="M17" s="16">
        <f t="shared" si="2"/>
        <v>254.77</v>
      </c>
      <c r="N17" s="12">
        <f t="shared" si="3"/>
        <v>0</v>
      </c>
      <c r="O17" s="17">
        <f t="shared" si="4"/>
        <v>0</v>
      </c>
      <c r="P17" s="14">
        <f t="shared" si="5"/>
        <v>158.58000000000001</v>
      </c>
    </row>
    <row r="18" spans="1:16" x14ac:dyDescent="0.25">
      <c r="A18" s="108"/>
      <c r="B18" s="126"/>
      <c r="C18" s="100"/>
      <c r="D18" s="100"/>
      <c r="E18" s="8" t="s">
        <v>13</v>
      </c>
      <c r="F18" s="19" t="s">
        <v>23</v>
      </c>
      <c r="G18" s="25" t="s">
        <v>45</v>
      </c>
      <c r="H18" s="16">
        <v>2273</v>
      </c>
      <c r="I18" s="11"/>
      <c r="J18" s="17"/>
      <c r="K18" s="14">
        <v>4391.26</v>
      </c>
      <c r="L18" s="10">
        <f t="shared" si="1"/>
        <v>0</v>
      </c>
      <c r="M18" s="16">
        <f t="shared" si="2"/>
        <v>2273</v>
      </c>
      <c r="N18" s="170">
        <f t="shared" si="3"/>
        <v>0</v>
      </c>
      <c r="O18" s="17">
        <f t="shared" si="4"/>
        <v>0</v>
      </c>
      <c r="P18" s="14">
        <f t="shared" si="5"/>
        <v>4391.26</v>
      </c>
    </row>
    <row r="19" spans="1:16" x14ac:dyDescent="0.25">
      <c r="A19" s="108"/>
      <c r="B19" s="127"/>
      <c r="C19" s="101"/>
      <c r="D19" s="101"/>
      <c r="E19" s="8" t="s">
        <v>17</v>
      </c>
      <c r="F19" s="19" t="s">
        <v>24</v>
      </c>
      <c r="G19" s="10">
        <v>27446.39</v>
      </c>
      <c r="H19" s="16">
        <v>3155.33</v>
      </c>
      <c r="I19" s="12"/>
      <c r="J19" s="13">
        <v>25301.71</v>
      </c>
      <c r="K19" s="14">
        <v>13767.61</v>
      </c>
      <c r="L19" s="10">
        <f t="shared" si="1"/>
        <v>27446.39</v>
      </c>
      <c r="M19" s="16">
        <f t="shared" si="2"/>
        <v>3155.33</v>
      </c>
      <c r="N19" s="12">
        <f t="shared" si="3"/>
        <v>0</v>
      </c>
      <c r="O19" s="13">
        <f t="shared" si="4"/>
        <v>25301.71</v>
      </c>
      <c r="P19" s="14">
        <f t="shared" si="5"/>
        <v>13767.61</v>
      </c>
    </row>
    <row r="20" spans="1:16" x14ac:dyDescent="0.25">
      <c r="A20" s="108" t="s">
        <v>123</v>
      </c>
      <c r="B20" s="125">
        <v>6</v>
      </c>
      <c r="C20" s="93" t="s">
        <v>27</v>
      </c>
      <c r="D20" s="96" t="s">
        <v>28</v>
      </c>
      <c r="E20" s="84" t="s">
        <v>11</v>
      </c>
      <c r="F20" s="85"/>
      <c r="G20" s="15"/>
      <c r="H20" s="16">
        <v>117</v>
      </c>
      <c r="I20" s="12"/>
      <c r="J20" s="13">
        <v>44.74</v>
      </c>
      <c r="K20" s="18"/>
      <c r="L20" s="10">
        <f t="shared" si="1"/>
        <v>0</v>
      </c>
      <c r="M20" s="16">
        <f t="shared" si="2"/>
        <v>117</v>
      </c>
      <c r="N20" s="12">
        <f t="shared" si="3"/>
        <v>0</v>
      </c>
      <c r="O20" s="13">
        <f t="shared" si="4"/>
        <v>44.74</v>
      </c>
      <c r="P20" s="18">
        <f t="shared" si="5"/>
        <v>0</v>
      </c>
    </row>
    <row r="21" spans="1:16" x14ac:dyDescent="0.25">
      <c r="A21" s="108"/>
      <c r="B21" s="126"/>
      <c r="C21" s="94"/>
      <c r="D21" s="97"/>
      <c r="E21" s="86" t="s">
        <v>16</v>
      </c>
      <c r="F21" s="87"/>
      <c r="G21" s="10">
        <v>219.67</v>
      </c>
      <c r="H21" s="11"/>
      <c r="I21" s="12"/>
      <c r="J21" s="17"/>
      <c r="K21" s="14">
        <v>134.08000000000001</v>
      </c>
      <c r="L21" s="10">
        <f t="shared" si="1"/>
        <v>219.67</v>
      </c>
      <c r="M21" s="11">
        <f t="shared" si="2"/>
        <v>0</v>
      </c>
      <c r="N21" s="12">
        <f t="shared" si="3"/>
        <v>0</v>
      </c>
      <c r="O21" s="17">
        <f t="shared" si="4"/>
        <v>0</v>
      </c>
      <c r="P21" s="14">
        <f t="shared" si="5"/>
        <v>134.08000000000001</v>
      </c>
    </row>
    <row r="22" spans="1:16" x14ac:dyDescent="0.25">
      <c r="A22" s="108"/>
      <c r="B22" s="126"/>
      <c r="C22" s="94"/>
      <c r="D22" s="97"/>
      <c r="E22" s="88" t="s">
        <v>13</v>
      </c>
      <c r="F22" s="89"/>
      <c r="G22" s="25" t="s">
        <v>45</v>
      </c>
      <c r="H22" s="11"/>
      <c r="I22" s="12"/>
      <c r="J22" s="17"/>
      <c r="K22" s="14">
        <v>109.08</v>
      </c>
      <c r="L22" s="10">
        <f t="shared" si="1"/>
        <v>0</v>
      </c>
      <c r="M22" s="11">
        <f t="shared" si="2"/>
        <v>0</v>
      </c>
      <c r="N22" s="12">
        <f t="shared" si="3"/>
        <v>0</v>
      </c>
      <c r="O22" s="17">
        <f t="shared" si="4"/>
        <v>0</v>
      </c>
      <c r="P22" s="14">
        <f t="shared" si="5"/>
        <v>109.08</v>
      </c>
    </row>
    <row r="23" spans="1:16" x14ac:dyDescent="0.25">
      <c r="A23" s="108"/>
      <c r="B23" s="127"/>
      <c r="C23" s="95"/>
      <c r="D23" s="98"/>
      <c r="E23" s="88" t="s">
        <v>17</v>
      </c>
      <c r="F23" s="89"/>
      <c r="G23" s="10">
        <v>86.63</v>
      </c>
      <c r="H23" s="11"/>
      <c r="I23" s="12"/>
      <c r="J23" s="17"/>
      <c r="K23" s="14">
        <v>68.33</v>
      </c>
      <c r="L23" s="10">
        <f t="shared" si="1"/>
        <v>86.63</v>
      </c>
      <c r="M23" s="11">
        <f t="shared" si="2"/>
        <v>0</v>
      </c>
      <c r="N23" s="12">
        <f t="shared" si="3"/>
        <v>0</v>
      </c>
      <c r="O23" s="17">
        <f t="shared" si="4"/>
        <v>0</v>
      </c>
      <c r="P23" s="14">
        <f t="shared" si="5"/>
        <v>68.33</v>
      </c>
    </row>
    <row r="24" spans="1:16" x14ac:dyDescent="0.25">
      <c r="A24" s="108" t="s">
        <v>123</v>
      </c>
      <c r="B24" s="125">
        <v>7</v>
      </c>
      <c r="C24" s="90" t="s">
        <v>29</v>
      </c>
      <c r="D24" s="81" t="s">
        <v>30</v>
      </c>
      <c r="E24" s="84" t="s">
        <v>11</v>
      </c>
      <c r="F24" s="85"/>
      <c r="G24" s="15"/>
      <c r="H24" s="16">
        <v>96.86</v>
      </c>
      <c r="I24" s="12"/>
      <c r="J24" s="13">
        <v>99.81</v>
      </c>
      <c r="K24" s="18"/>
      <c r="L24" s="10">
        <f t="shared" si="1"/>
        <v>0</v>
      </c>
      <c r="M24" s="16">
        <f t="shared" si="2"/>
        <v>96.86</v>
      </c>
      <c r="N24" s="12">
        <f t="shared" si="3"/>
        <v>0</v>
      </c>
      <c r="O24" s="13">
        <f t="shared" si="4"/>
        <v>99.81</v>
      </c>
      <c r="P24" s="18">
        <f t="shared" si="5"/>
        <v>0</v>
      </c>
    </row>
    <row r="25" spans="1:16" x14ac:dyDescent="0.25">
      <c r="A25" s="108"/>
      <c r="B25" s="126"/>
      <c r="C25" s="91"/>
      <c r="D25" s="82"/>
      <c r="E25" s="86" t="s">
        <v>16</v>
      </c>
      <c r="F25" s="87"/>
      <c r="G25" s="10">
        <v>99.84</v>
      </c>
      <c r="H25" s="11"/>
      <c r="I25" s="12"/>
      <c r="J25" s="17"/>
      <c r="K25" s="14">
        <v>99.21</v>
      </c>
      <c r="L25" s="10">
        <f t="shared" si="1"/>
        <v>99.84</v>
      </c>
      <c r="M25" s="11">
        <f t="shared" si="2"/>
        <v>0</v>
      </c>
      <c r="N25" s="12">
        <f t="shared" si="3"/>
        <v>0</v>
      </c>
      <c r="O25" s="17">
        <f t="shared" si="4"/>
        <v>0</v>
      </c>
      <c r="P25" s="14">
        <f t="shared" si="5"/>
        <v>99.21</v>
      </c>
    </row>
    <row r="26" spans="1:16" x14ac:dyDescent="0.25">
      <c r="A26" s="108"/>
      <c r="B26" s="126"/>
      <c r="C26" s="91"/>
      <c r="D26" s="82"/>
      <c r="E26" s="88" t="s">
        <v>13</v>
      </c>
      <c r="F26" s="89"/>
      <c r="G26" s="25" t="s">
        <v>45</v>
      </c>
      <c r="H26" s="11"/>
      <c r="I26" s="12"/>
      <c r="J26" s="17"/>
      <c r="K26" s="14">
        <v>97.88</v>
      </c>
      <c r="L26" s="10">
        <f t="shared" si="1"/>
        <v>0</v>
      </c>
      <c r="M26" s="11">
        <f t="shared" si="2"/>
        <v>0</v>
      </c>
      <c r="N26" s="12">
        <f t="shared" si="3"/>
        <v>0</v>
      </c>
      <c r="O26" s="17">
        <f t="shared" si="4"/>
        <v>0</v>
      </c>
      <c r="P26" s="14">
        <f t="shared" si="5"/>
        <v>97.88</v>
      </c>
    </row>
    <row r="27" spans="1:16" x14ac:dyDescent="0.25">
      <c r="A27" s="108"/>
      <c r="B27" s="127"/>
      <c r="C27" s="92"/>
      <c r="D27" s="83"/>
      <c r="E27" s="88" t="s">
        <v>17</v>
      </c>
      <c r="F27" s="89"/>
      <c r="G27" s="10">
        <v>99.14</v>
      </c>
      <c r="H27" s="11"/>
      <c r="I27" s="12"/>
      <c r="J27" s="17"/>
      <c r="K27" s="14">
        <v>99.9</v>
      </c>
      <c r="L27" s="10">
        <f t="shared" si="1"/>
        <v>99.14</v>
      </c>
      <c r="M27" s="11">
        <f t="shared" si="2"/>
        <v>0</v>
      </c>
      <c r="N27" s="12">
        <f t="shared" si="3"/>
        <v>0</v>
      </c>
      <c r="O27" s="17">
        <f t="shared" si="4"/>
        <v>0</v>
      </c>
      <c r="P27" s="14">
        <f t="shared" si="5"/>
        <v>99.9</v>
      </c>
    </row>
    <row r="28" spans="1:16" x14ac:dyDescent="0.25">
      <c r="A28" s="108" t="s">
        <v>123</v>
      </c>
      <c r="B28" s="125">
        <v>8</v>
      </c>
      <c r="C28" s="78" t="s">
        <v>31</v>
      </c>
      <c r="D28" s="81" t="s">
        <v>32</v>
      </c>
      <c r="E28" s="84" t="s">
        <v>11</v>
      </c>
      <c r="F28" s="85"/>
      <c r="G28" s="15"/>
      <c r="H28" s="16">
        <v>3.14</v>
      </c>
      <c r="I28" s="12"/>
      <c r="J28" s="13">
        <v>0.42</v>
      </c>
      <c r="K28" s="18"/>
      <c r="L28" s="10">
        <f t="shared" si="1"/>
        <v>0</v>
      </c>
      <c r="M28" s="16">
        <f t="shared" si="2"/>
        <v>3.14</v>
      </c>
      <c r="N28" s="12">
        <f t="shared" si="3"/>
        <v>0</v>
      </c>
      <c r="O28" s="13">
        <f t="shared" si="4"/>
        <v>0.42</v>
      </c>
      <c r="P28" s="18">
        <f t="shared" si="5"/>
        <v>0</v>
      </c>
    </row>
    <row r="29" spans="1:16" x14ac:dyDescent="0.25">
      <c r="A29" s="108"/>
      <c r="B29" s="126"/>
      <c r="C29" s="79"/>
      <c r="D29" s="82"/>
      <c r="E29" s="86" t="s">
        <v>16</v>
      </c>
      <c r="F29" s="87"/>
      <c r="G29" s="10">
        <v>1.89</v>
      </c>
      <c r="H29" s="11"/>
      <c r="I29" s="12"/>
      <c r="J29" s="17"/>
      <c r="K29" s="14">
        <v>4.5</v>
      </c>
      <c r="L29" s="10">
        <f t="shared" si="1"/>
        <v>1.89</v>
      </c>
      <c r="M29" s="11">
        <f t="shared" si="2"/>
        <v>0</v>
      </c>
      <c r="N29" s="12">
        <f t="shared" si="3"/>
        <v>0</v>
      </c>
      <c r="O29" s="17">
        <f t="shared" si="4"/>
        <v>0</v>
      </c>
      <c r="P29" s="14">
        <f t="shared" si="5"/>
        <v>4.5</v>
      </c>
    </row>
    <row r="30" spans="1:16" x14ac:dyDescent="0.25">
      <c r="A30" s="108"/>
      <c r="B30" s="126"/>
      <c r="C30" s="79"/>
      <c r="D30" s="82"/>
      <c r="E30" s="88" t="s">
        <v>13</v>
      </c>
      <c r="F30" s="89"/>
      <c r="G30" s="25" t="s">
        <v>45</v>
      </c>
      <c r="H30" s="11"/>
      <c r="I30" s="12"/>
      <c r="J30" s="17"/>
      <c r="K30" s="14">
        <v>1.37</v>
      </c>
      <c r="L30" s="10">
        <f t="shared" si="1"/>
        <v>0</v>
      </c>
      <c r="M30" s="11">
        <f t="shared" si="2"/>
        <v>0</v>
      </c>
      <c r="N30" s="12">
        <f t="shared" si="3"/>
        <v>0</v>
      </c>
      <c r="O30" s="17">
        <f t="shared" si="4"/>
        <v>0</v>
      </c>
      <c r="P30" s="14">
        <f t="shared" si="5"/>
        <v>1.37</v>
      </c>
    </row>
    <row r="31" spans="1:16" x14ac:dyDescent="0.25">
      <c r="A31" s="108"/>
      <c r="B31" s="127"/>
      <c r="C31" s="80"/>
      <c r="D31" s="83"/>
      <c r="E31" s="88" t="s">
        <v>17</v>
      </c>
      <c r="F31" s="89"/>
      <c r="G31" s="10">
        <v>0.03</v>
      </c>
      <c r="H31" s="11"/>
      <c r="I31" s="12"/>
      <c r="J31" s="17"/>
      <c r="K31" s="14">
        <v>0.28000000000000003</v>
      </c>
      <c r="L31" s="10">
        <f t="shared" si="1"/>
        <v>0.03</v>
      </c>
      <c r="M31" s="11">
        <f t="shared" si="2"/>
        <v>0</v>
      </c>
      <c r="N31" s="12">
        <f t="shared" si="3"/>
        <v>0</v>
      </c>
      <c r="O31" s="17">
        <f t="shared" si="4"/>
        <v>0</v>
      </c>
      <c r="P31" s="14">
        <f t="shared" si="5"/>
        <v>0.28000000000000003</v>
      </c>
    </row>
  </sheetData>
  <mergeCells count="55">
    <mergeCell ref="B2:B3"/>
    <mergeCell ref="C2:C3"/>
    <mergeCell ref="D2:D3"/>
    <mergeCell ref="E2:F2"/>
    <mergeCell ref="E3:F3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E4:F4"/>
    <mergeCell ref="E5:F5"/>
    <mergeCell ref="B12:B15"/>
    <mergeCell ref="C12:C15"/>
    <mergeCell ref="D12:D15"/>
    <mergeCell ref="B16:B19"/>
    <mergeCell ref="C16:C19"/>
    <mergeCell ref="D16:D19"/>
    <mergeCell ref="B20:B23"/>
    <mergeCell ref="C20:C23"/>
    <mergeCell ref="D20:D23"/>
    <mergeCell ref="E20:F20"/>
    <mergeCell ref="E21:F21"/>
    <mergeCell ref="E22:F22"/>
    <mergeCell ref="E23:F23"/>
    <mergeCell ref="B24:B27"/>
    <mergeCell ref="C24:C27"/>
    <mergeCell ref="D24:D27"/>
    <mergeCell ref="E24:F24"/>
    <mergeCell ref="E25:F25"/>
    <mergeCell ref="E26:F26"/>
    <mergeCell ref="E27:F27"/>
    <mergeCell ref="A24:A27"/>
    <mergeCell ref="A28:A31"/>
    <mergeCell ref="E1:F1"/>
    <mergeCell ref="A2:A3"/>
    <mergeCell ref="A4:A7"/>
    <mergeCell ref="A8:A11"/>
    <mergeCell ref="A12:A15"/>
    <mergeCell ref="A16:A19"/>
    <mergeCell ref="A20:A23"/>
    <mergeCell ref="B28:B31"/>
    <mergeCell ref="C28:C31"/>
    <mergeCell ref="D28:D31"/>
    <mergeCell ref="E28:F28"/>
    <mergeCell ref="E29:F29"/>
    <mergeCell ref="E30:F30"/>
    <mergeCell ref="E31:F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P31"/>
  <sheetViews>
    <sheetView workbookViewId="0">
      <selection activeCell="L3" sqref="L3"/>
    </sheetView>
  </sheetViews>
  <sheetFormatPr defaultRowHeight="13.2" x14ac:dyDescent="0.25"/>
  <cols>
    <col min="1" max="1" width="23.44140625" customWidth="1"/>
  </cols>
  <sheetData>
    <row r="1" spans="1:16" ht="40.799999999999997" x14ac:dyDescent="0.25">
      <c r="A1" s="31" t="s">
        <v>115</v>
      </c>
      <c r="B1" s="64" t="s">
        <v>0</v>
      </c>
      <c r="C1" s="57" t="s">
        <v>1</v>
      </c>
      <c r="D1" s="58" t="s">
        <v>2</v>
      </c>
      <c r="E1" s="123" t="s">
        <v>3</v>
      </c>
      <c r="F1" s="124"/>
      <c r="G1" s="59" t="s">
        <v>4</v>
      </c>
      <c r="H1" s="60" t="s">
        <v>5</v>
      </c>
      <c r="I1" s="61" t="s">
        <v>6</v>
      </c>
      <c r="J1" s="62" t="s">
        <v>7</v>
      </c>
      <c r="K1" s="63" t="s">
        <v>8</v>
      </c>
      <c r="L1" s="59" t="s">
        <v>4</v>
      </c>
      <c r="M1" s="60" t="s">
        <v>5</v>
      </c>
      <c r="N1" s="61" t="s">
        <v>6</v>
      </c>
      <c r="O1" s="62" t="s">
        <v>7</v>
      </c>
      <c r="P1" s="63" t="s">
        <v>8</v>
      </c>
    </row>
    <row r="2" spans="1:16" x14ac:dyDescent="0.25">
      <c r="A2" s="107" t="s">
        <v>124</v>
      </c>
      <c r="B2" s="125">
        <v>1</v>
      </c>
      <c r="C2" s="104" t="s">
        <v>9</v>
      </c>
      <c r="D2" s="104" t="s">
        <v>54</v>
      </c>
      <c r="E2" s="84" t="s">
        <v>11</v>
      </c>
      <c r="F2" s="85"/>
      <c r="G2" s="10">
        <v>100</v>
      </c>
      <c r="H2" s="16">
        <v>97.63</v>
      </c>
      <c r="I2" s="12"/>
      <c r="J2" s="13">
        <v>96.93</v>
      </c>
      <c r="K2" s="14">
        <v>99.91</v>
      </c>
      <c r="L2" s="10">
        <f>IF(OR(G2="NA",G2=0),0,(1*G2))</f>
        <v>100</v>
      </c>
      <c r="M2" s="16">
        <f t="shared" ref="M2:P2" si="0">IF(OR(H2="NA",H2=0),0,(1*H2))</f>
        <v>97.63</v>
      </c>
      <c r="N2" s="12">
        <f t="shared" si="0"/>
        <v>0</v>
      </c>
      <c r="O2" s="13">
        <f t="shared" si="0"/>
        <v>96.93</v>
      </c>
      <c r="P2" s="14">
        <f t="shared" si="0"/>
        <v>99.91</v>
      </c>
    </row>
    <row r="3" spans="1:16" x14ac:dyDescent="0.25">
      <c r="A3" s="108"/>
      <c r="B3" s="127"/>
      <c r="C3" s="106"/>
      <c r="D3" s="106"/>
      <c r="E3" s="88" t="s">
        <v>13</v>
      </c>
      <c r="F3" s="89"/>
      <c r="G3" s="15"/>
      <c r="H3" s="11"/>
      <c r="I3" s="12"/>
      <c r="J3" s="17"/>
      <c r="K3" s="18"/>
      <c r="L3" s="10">
        <f t="shared" ref="L3:L31" si="1">IF(OR(G3="NA",G3=0),0,(1*G3))</f>
        <v>0</v>
      </c>
      <c r="M3" s="11">
        <f t="shared" ref="M3:M31" si="2">IF(OR(H3="NA",H3=0),0,(1*H3))</f>
        <v>0</v>
      </c>
      <c r="N3" s="12">
        <f t="shared" ref="N3:N31" si="3">IF(OR(I3="NA",I3=0),0,(1*I3))</f>
        <v>0</v>
      </c>
      <c r="O3" s="17">
        <f t="shared" ref="O3:O31" si="4">IF(OR(J3="NA",J3=0),0,(1*J3))</f>
        <v>0</v>
      </c>
      <c r="P3" s="18">
        <f t="shared" ref="P3:P31" si="5">IF(OR(K3="NA",K3=0),0,(1*K3))</f>
        <v>0</v>
      </c>
    </row>
    <row r="4" spans="1:16" x14ac:dyDescent="0.25">
      <c r="A4" s="108" t="s">
        <v>124</v>
      </c>
      <c r="B4" s="125">
        <v>2</v>
      </c>
      <c r="C4" s="93" t="s">
        <v>14</v>
      </c>
      <c r="D4" s="93" t="s">
        <v>15</v>
      </c>
      <c r="E4" s="84" t="s">
        <v>11</v>
      </c>
      <c r="F4" s="85"/>
      <c r="G4" s="15"/>
      <c r="H4" s="16">
        <v>96</v>
      </c>
      <c r="I4" s="12"/>
      <c r="J4" s="13">
        <v>100</v>
      </c>
      <c r="K4" s="18"/>
      <c r="L4" s="10">
        <f t="shared" si="1"/>
        <v>0</v>
      </c>
      <c r="M4" s="16">
        <f t="shared" si="2"/>
        <v>96</v>
      </c>
      <c r="N4" s="12">
        <f t="shared" si="3"/>
        <v>0</v>
      </c>
      <c r="O4" s="13">
        <f t="shared" si="4"/>
        <v>100</v>
      </c>
      <c r="P4" s="18">
        <f t="shared" si="5"/>
        <v>0</v>
      </c>
    </row>
    <row r="5" spans="1:16" x14ac:dyDescent="0.25">
      <c r="A5" s="108"/>
      <c r="B5" s="126"/>
      <c r="C5" s="94"/>
      <c r="D5" s="94"/>
      <c r="E5" s="86" t="s">
        <v>16</v>
      </c>
      <c r="F5" s="87"/>
      <c r="G5" s="10">
        <v>100</v>
      </c>
      <c r="H5" s="11"/>
      <c r="I5" s="12"/>
      <c r="J5" s="17"/>
      <c r="K5" s="14">
        <v>100</v>
      </c>
      <c r="L5" s="10">
        <f t="shared" si="1"/>
        <v>100</v>
      </c>
      <c r="M5" s="11">
        <f t="shared" si="2"/>
        <v>0</v>
      </c>
      <c r="N5" s="12">
        <f t="shared" si="3"/>
        <v>0</v>
      </c>
      <c r="O5" s="17">
        <f t="shared" si="4"/>
        <v>0</v>
      </c>
      <c r="P5" s="14">
        <f t="shared" si="5"/>
        <v>100</v>
      </c>
    </row>
    <row r="6" spans="1:16" x14ac:dyDescent="0.25">
      <c r="A6" s="108"/>
      <c r="B6" s="126"/>
      <c r="C6" s="94"/>
      <c r="D6" s="94"/>
      <c r="E6" s="88" t="s">
        <v>13</v>
      </c>
      <c r="F6" s="89"/>
      <c r="G6" s="25" t="s">
        <v>45</v>
      </c>
      <c r="H6" s="11"/>
      <c r="I6" s="12"/>
      <c r="J6" s="17"/>
      <c r="K6" s="14">
        <v>100</v>
      </c>
      <c r="L6" s="10">
        <f t="shared" si="1"/>
        <v>0</v>
      </c>
      <c r="M6" s="11">
        <f t="shared" si="2"/>
        <v>0</v>
      </c>
      <c r="N6" s="12">
        <f t="shared" si="3"/>
        <v>0</v>
      </c>
      <c r="O6" s="17">
        <f t="shared" si="4"/>
        <v>0</v>
      </c>
      <c r="P6" s="14">
        <f t="shared" si="5"/>
        <v>100</v>
      </c>
    </row>
    <row r="7" spans="1:16" x14ac:dyDescent="0.25">
      <c r="A7" s="108"/>
      <c r="B7" s="127"/>
      <c r="C7" s="95"/>
      <c r="D7" s="95"/>
      <c r="E7" s="88" t="s">
        <v>17</v>
      </c>
      <c r="F7" s="89"/>
      <c r="G7" s="10">
        <v>100</v>
      </c>
      <c r="H7" s="11"/>
      <c r="I7" s="12"/>
      <c r="J7" s="17"/>
      <c r="K7" s="14">
        <v>100</v>
      </c>
      <c r="L7" s="10">
        <f t="shared" si="1"/>
        <v>100</v>
      </c>
      <c r="M7" s="11">
        <f t="shared" si="2"/>
        <v>0</v>
      </c>
      <c r="N7" s="12">
        <f t="shared" si="3"/>
        <v>0</v>
      </c>
      <c r="O7" s="17">
        <f t="shared" si="4"/>
        <v>0</v>
      </c>
      <c r="P7" s="14">
        <f t="shared" si="5"/>
        <v>100</v>
      </c>
    </row>
    <row r="8" spans="1:16" ht="13.2" customHeight="1" x14ac:dyDescent="0.25">
      <c r="A8" s="108" t="s">
        <v>124</v>
      </c>
      <c r="B8" s="125">
        <v>3</v>
      </c>
      <c r="C8" s="93" t="s">
        <v>57</v>
      </c>
      <c r="D8" s="93" t="s">
        <v>19</v>
      </c>
      <c r="E8" s="84" t="s">
        <v>11</v>
      </c>
      <c r="F8" s="85"/>
      <c r="G8" s="15"/>
      <c r="H8" s="16">
        <v>87</v>
      </c>
      <c r="I8" s="12"/>
      <c r="J8" s="13">
        <v>100</v>
      </c>
      <c r="K8" s="18"/>
      <c r="L8" s="10">
        <f t="shared" si="1"/>
        <v>0</v>
      </c>
      <c r="M8" s="16">
        <f t="shared" si="2"/>
        <v>87</v>
      </c>
      <c r="N8" s="12">
        <f t="shared" si="3"/>
        <v>0</v>
      </c>
      <c r="O8" s="13">
        <f t="shared" si="4"/>
        <v>100</v>
      </c>
      <c r="P8" s="18">
        <f t="shared" si="5"/>
        <v>0</v>
      </c>
    </row>
    <row r="9" spans="1:16" x14ac:dyDescent="0.25">
      <c r="A9" s="108"/>
      <c r="B9" s="126"/>
      <c r="C9" s="94"/>
      <c r="D9" s="94"/>
      <c r="E9" s="86" t="s">
        <v>16</v>
      </c>
      <c r="F9" s="87"/>
      <c r="G9" s="10">
        <v>100</v>
      </c>
      <c r="H9" s="11"/>
      <c r="I9" s="12"/>
      <c r="J9" s="17"/>
      <c r="K9" s="14">
        <v>100</v>
      </c>
      <c r="L9" s="10">
        <f t="shared" si="1"/>
        <v>100</v>
      </c>
      <c r="M9" s="11">
        <f t="shared" si="2"/>
        <v>0</v>
      </c>
      <c r="N9" s="12">
        <f t="shared" si="3"/>
        <v>0</v>
      </c>
      <c r="O9" s="17">
        <f t="shared" si="4"/>
        <v>0</v>
      </c>
      <c r="P9" s="14">
        <f t="shared" si="5"/>
        <v>100</v>
      </c>
    </row>
    <row r="10" spans="1:16" x14ac:dyDescent="0.25">
      <c r="A10" s="108"/>
      <c r="B10" s="126"/>
      <c r="C10" s="94"/>
      <c r="D10" s="94"/>
      <c r="E10" s="88" t="s">
        <v>13</v>
      </c>
      <c r="F10" s="89"/>
      <c r="G10" s="25" t="s">
        <v>45</v>
      </c>
      <c r="H10" s="11"/>
      <c r="I10" s="12"/>
      <c r="J10" s="17"/>
      <c r="K10" s="14">
        <v>100</v>
      </c>
      <c r="L10" s="10">
        <f t="shared" si="1"/>
        <v>0</v>
      </c>
      <c r="M10" s="11">
        <f t="shared" si="2"/>
        <v>0</v>
      </c>
      <c r="N10" s="12">
        <f t="shared" si="3"/>
        <v>0</v>
      </c>
      <c r="O10" s="17">
        <f t="shared" si="4"/>
        <v>0</v>
      </c>
      <c r="P10" s="14">
        <f t="shared" si="5"/>
        <v>100</v>
      </c>
    </row>
    <row r="11" spans="1:16" x14ac:dyDescent="0.25">
      <c r="A11" s="108"/>
      <c r="B11" s="127"/>
      <c r="C11" s="95"/>
      <c r="D11" s="95"/>
      <c r="E11" s="88" t="s">
        <v>17</v>
      </c>
      <c r="F11" s="89"/>
      <c r="G11" s="10">
        <v>100</v>
      </c>
      <c r="H11" s="11"/>
      <c r="I11" s="12"/>
      <c r="J11" s="17"/>
      <c r="K11" s="14">
        <v>99.67</v>
      </c>
      <c r="L11" s="10">
        <f t="shared" si="1"/>
        <v>100</v>
      </c>
      <c r="M11" s="11">
        <f t="shared" si="2"/>
        <v>0</v>
      </c>
      <c r="N11" s="12">
        <f t="shared" si="3"/>
        <v>0</v>
      </c>
      <c r="O11" s="17">
        <f t="shared" si="4"/>
        <v>0</v>
      </c>
      <c r="P11" s="14">
        <f t="shared" si="5"/>
        <v>99.67</v>
      </c>
    </row>
    <row r="12" spans="1:16" x14ac:dyDescent="0.25">
      <c r="A12" s="108" t="s">
        <v>124</v>
      </c>
      <c r="B12" s="125">
        <v>4</v>
      </c>
      <c r="C12" s="99" t="s">
        <v>20</v>
      </c>
      <c r="D12" s="99" t="s">
        <v>21</v>
      </c>
      <c r="E12" s="8" t="s">
        <v>22</v>
      </c>
      <c r="F12" s="19" t="s">
        <v>23</v>
      </c>
      <c r="G12" s="15"/>
      <c r="H12" s="11"/>
      <c r="I12" s="12"/>
      <c r="J12" s="17"/>
      <c r="K12" s="18"/>
      <c r="L12" s="10">
        <f t="shared" si="1"/>
        <v>0</v>
      </c>
      <c r="M12" s="11">
        <f t="shared" si="2"/>
        <v>0</v>
      </c>
      <c r="N12" s="12">
        <f t="shared" si="3"/>
        <v>0</v>
      </c>
      <c r="O12" s="17">
        <f t="shared" si="4"/>
        <v>0</v>
      </c>
      <c r="P12" s="18">
        <f t="shared" si="5"/>
        <v>0</v>
      </c>
    </row>
    <row r="13" spans="1:16" x14ac:dyDescent="0.25">
      <c r="A13" s="108"/>
      <c r="B13" s="126"/>
      <c r="C13" s="100"/>
      <c r="D13" s="100"/>
      <c r="E13" s="8" t="s">
        <v>12</v>
      </c>
      <c r="F13" s="19" t="s">
        <v>23</v>
      </c>
      <c r="G13" s="10">
        <v>179.36</v>
      </c>
      <c r="H13" s="16">
        <v>39.75</v>
      </c>
      <c r="I13" s="12"/>
      <c r="J13" s="17"/>
      <c r="K13" s="14">
        <v>172.76</v>
      </c>
      <c r="L13" s="10">
        <f t="shared" si="1"/>
        <v>179.36</v>
      </c>
      <c r="M13" s="16">
        <f t="shared" si="2"/>
        <v>39.75</v>
      </c>
      <c r="N13" s="12">
        <f t="shared" si="3"/>
        <v>0</v>
      </c>
      <c r="O13" s="17">
        <f t="shared" si="4"/>
        <v>0</v>
      </c>
      <c r="P13" s="14">
        <f t="shared" si="5"/>
        <v>172.76</v>
      </c>
    </row>
    <row r="14" spans="1:16" x14ac:dyDescent="0.25">
      <c r="A14" s="108"/>
      <c r="B14" s="126"/>
      <c r="C14" s="100"/>
      <c r="D14" s="100"/>
      <c r="E14" s="8" t="s">
        <v>13</v>
      </c>
      <c r="F14" s="19" t="s">
        <v>23</v>
      </c>
      <c r="G14" s="25" t="s">
        <v>45</v>
      </c>
      <c r="H14" s="16">
        <v>1504</v>
      </c>
      <c r="I14" s="12"/>
      <c r="J14" s="17"/>
      <c r="K14" s="14">
        <v>6895.85</v>
      </c>
      <c r="L14" s="10">
        <f t="shared" si="1"/>
        <v>0</v>
      </c>
      <c r="M14" s="16">
        <f t="shared" si="2"/>
        <v>1504</v>
      </c>
      <c r="N14" s="12">
        <f t="shared" si="3"/>
        <v>0</v>
      </c>
      <c r="O14" s="17">
        <f t="shared" si="4"/>
        <v>0</v>
      </c>
      <c r="P14" s="14">
        <f t="shared" si="5"/>
        <v>6895.85</v>
      </c>
    </row>
    <row r="15" spans="1:16" x14ac:dyDescent="0.25">
      <c r="A15" s="108"/>
      <c r="B15" s="127"/>
      <c r="C15" s="101"/>
      <c r="D15" s="101"/>
      <c r="E15" s="8" t="s">
        <v>17</v>
      </c>
      <c r="F15" s="19" t="s">
        <v>24</v>
      </c>
      <c r="G15" s="10">
        <v>9397.69</v>
      </c>
      <c r="H15" s="11"/>
      <c r="I15" s="12"/>
      <c r="J15" s="13">
        <v>6761.47</v>
      </c>
      <c r="K15" s="14">
        <v>6819.94</v>
      </c>
      <c r="L15" s="10">
        <f t="shared" si="1"/>
        <v>9397.69</v>
      </c>
      <c r="M15" s="11">
        <f t="shared" si="2"/>
        <v>0</v>
      </c>
      <c r="N15" s="12">
        <f t="shared" si="3"/>
        <v>0</v>
      </c>
      <c r="O15" s="13">
        <f t="shared" si="4"/>
        <v>6761.47</v>
      </c>
      <c r="P15" s="14">
        <f t="shared" si="5"/>
        <v>6819.94</v>
      </c>
    </row>
    <row r="16" spans="1:16" x14ac:dyDescent="0.25">
      <c r="A16" s="108" t="s">
        <v>124</v>
      </c>
      <c r="B16" s="125">
        <v>5</v>
      </c>
      <c r="C16" s="99" t="s">
        <v>25</v>
      </c>
      <c r="D16" s="99" t="s">
        <v>26</v>
      </c>
      <c r="E16" s="8" t="s">
        <v>22</v>
      </c>
      <c r="F16" s="19" t="s">
        <v>23</v>
      </c>
      <c r="G16" s="15"/>
      <c r="H16" s="11"/>
      <c r="I16" s="12"/>
      <c r="J16" s="17"/>
      <c r="K16" s="18"/>
      <c r="L16" s="10">
        <f t="shared" si="1"/>
        <v>0</v>
      </c>
      <c r="M16" s="11">
        <f t="shared" si="2"/>
        <v>0</v>
      </c>
      <c r="N16" s="12">
        <f t="shared" si="3"/>
        <v>0</v>
      </c>
      <c r="O16" s="17">
        <f t="shared" si="4"/>
        <v>0</v>
      </c>
      <c r="P16" s="18">
        <f t="shared" si="5"/>
        <v>0</v>
      </c>
    </row>
    <row r="17" spans="1:16" x14ac:dyDescent="0.25">
      <c r="A17" s="108"/>
      <c r="B17" s="126"/>
      <c r="C17" s="100"/>
      <c r="D17" s="100"/>
      <c r="E17" s="8" t="s">
        <v>12</v>
      </c>
      <c r="F17" s="19" t="s">
        <v>23</v>
      </c>
      <c r="G17" s="10">
        <v>231.48</v>
      </c>
      <c r="H17" s="16">
        <v>84.06</v>
      </c>
      <c r="I17" s="12"/>
      <c r="J17" s="17"/>
      <c r="K17" s="14">
        <v>220.5</v>
      </c>
      <c r="L17" s="10">
        <f t="shared" si="1"/>
        <v>231.48</v>
      </c>
      <c r="M17" s="16">
        <f t="shared" si="2"/>
        <v>84.06</v>
      </c>
      <c r="N17" s="12">
        <f t="shared" si="3"/>
        <v>0</v>
      </c>
      <c r="O17" s="17">
        <f t="shared" si="4"/>
        <v>0</v>
      </c>
      <c r="P17" s="14">
        <f t="shared" si="5"/>
        <v>220.5</v>
      </c>
    </row>
    <row r="18" spans="1:16" x14ac:dyDescent="0.25">
      <c r="A18" s="108"/>
      <c r="B18" s="126"/>
      <c r="C18" s="100"/>
      <c r="D18" s="100"/>
      <c r="E18" s="8" t="s">
        <v>13</v>
      </c>
      <c r="F18" s="19" t="s">
        <v>23</v>
      </c>
      <c r="G18" s="25" t="s">
        <v>45</v>
      </c>
      <c r="H18" s="16">
        <v>2385.33</v>
      </c>
      <c r="I18" s="12"/>
      <c r="J18" s="17"/>
      <c r="K18" s="14">
        <v>10054.030000000001</v>
      </c>
      <c r="L18" s="10">
        <f t="shared" si="1"/>
        <v>0</v>
      </c>
      <c r="M18" s="16">
        <f t="shared" si="2"/>
        <v>2385.33</v>
      </c>
      <c r="N18" s="12">
        <f t="shared" si="3"/>
        <v>0</v>
      </c>
      <c r="O18" s="17">
        <f t="shared" si="4"/>
        <v>0</v>
      </c>
      <c r="P18" s="14">
        <f t="shared" si="5"/>
        <v>10054.030000000001</v>
      </c>
    </row>
    <row r="19" spans="1:16" x14ac:dyDescent="0.25">
      <c r="A19" s="108"/>
      <c r="B19" s="127"/>
      <c r="C19" s="101"/>
      <c r="D19" s="101"/>
      <c r="E19" s="8" t="s">
        <v>17</v>
      </c>
      <c r="F19" s="19" t="s">
        <v>24</v>
      </c>
      <c r="G19" s="10">
        <v>10911.92</v>
      </c>
      <c r="H19" s="11"/>
      <c r="I19" s="12"/>
      <c r="J19" s="13">
        <v>16732.759999999998</v>
      </c>
      <c r="K19" s="14">
        <v>16633.5</v>
      </c>
      <c r="L19" s="10">
        <f t="shared" si="1"/>
        <v>10911.92</v>
      </c>
      <c r="M19" s="11">
        <f t="shared" si="2"/>
        <v>0</v>
      </c>
      <c r="N19" s="12">
        <f t="shared" si="3"/>
        <v>0</v>
      </c>
      <c r="O19" s="13">
        <f t="shared" si="4"/>
        <v>16732.759999999998</v>
      </c>
      <c r="P19" s="14">
        <f t="shared" si="5"/>
        <v>16633.5</v>
      </c>
    </row>
    <row r="20" spans="1:16" x14ac:dyDescent="0.25">
      <c r="A20" s="108" t="s">
        <v>124</v>
      </c>
      <c r="B20" s="125">
        <v>6</v>
      </c>
      <c r="C20" s="93" t="s">
        <v>27</v>
      </c>
      <c r="D20" s="96" t="s">
        <v>28</v>
      </c>
      <c r="E20" s="84" t="s">
        <v>11</v>
      </c>
      <c r="F20" s="85"/>
      <c r="G20" s="15"/>
      <c r="H20" s="16">
        <v>153</v>
      </c>
      <c r="I20" s="12"/>
      <c r="J20" s="13">
        <v>44.76</v>
      </c>
      <c r="K20" s="18"/>
      <c r="L20" s="10">
        <f t="shared" si="1"/>
        <v>0</v>
      </c>
      <c r="M20" s="16">
        <f t="shared" si="2"/>
        <v>153</v>
      </c>
      <c r="N20" s="12">
        <f t="shared" si="3"/>
        <v>0</v>
      </c>
      <c r="O20" s="13">
        <f t="shared" si="4"/>
        <v>44.76</v>
      </c>
      <c r="P20" s="18">
        <f t="shared" si="5"/>
        <v>0</v>
      </c>
    </row>
    <row r="21" spans="1:16" x14ac:dyDescent="0.25">
      <c r="A21" s="108"/>
      <c r="B21" s="126"/>
      <c r="C21" s="94"/>
      <c r="D21" s="97"/>
      <c r="E21" s="86" t="s">
        <v>16</v>
      </c>
      <c r="F21" s="87"/>
      <c r="G21" s="10">
        <v>212.67</v>
      </c>
      <c r="H21" s="11"/>
      <c r="I21" s="12"/>
      <c r="J21" s="17"/>
      <c r="K21" s="14">
        <v>150.5</v>
      </c>
      <c r="L21" s="10">
        <f t="shared" si="1"/>
        <v>212.67</v>
      </c>
      <c r="M21" s="11">
        <f t="shared" si="2"/>
        <v>0</v>
      </c>
      <c r="N21" s="12">
        <f t="shared" si="3"/>
        <v>0</v>
      </c>
      <c r="O21" s="17">
        <f t="shared" si="4"/>
        <v>0</v>
      </c>
      <c r="P21" s="14">
        <f t="shared" si="5"/>
        <v>150.5</v>
      </c>
    </row>
    <row r="22" spans="1:16" x14ac:dyDescent="0.25">
      <c r="A22" s="108"/>
      <c r="B22" s="126"/>
      <c r="C22" s="94"/>
      <c r="D22" s="97"/>
      <c r="E22" s="88" t="s">
        <v>13</v>
      </c>
      <c r="F22" s="89"/>
      <c r="G22" s="25" t="s">
        <v>45</v>
      </c>
      <c r="H22" s="11"/>
      <c r="I22" s="12"/>
      <c r="J22" s="17"/>
      <c r="K22" s="14">
        <v>35.83</v>
      </c>
      <c r="L22" s="10">
        <f t="shared" si="1"/>
        <v>0</v>
      </c>
      <c r="M22" s="11">
        <f t="shared" si="2"/>
        <v>0</v>
      </c>
      <c r="N22" s="12">
        <f t="shared" si="3"/>
        <v>0</v>
      </c>
      <c r="O22" s="17">
        <f t="shared" si="4"/>
        <v>0</v>
      </c>
      <c r="P22" s="14">
        <f t="shared" si="5"/>
        <v>35.83</v>
      </c>
    </row>
    <row r="23" spans="1:16" x14ac:dyDescent="0.25">
      <c r="A23" s="108"/>
      <c r="B23" s="127"/>
      <c r="C23" s="95"/>
      <c r="D23" s="98"/>
      <c r="E23" s="88" t="s">
        <v>17</v>
      </c>
      <c r="F23" s="89"/>
      <c r="G23" s="10">
        <v>104.33</v>
      </c>
      <c r="H23" s="11"/>
      <c r="I23" s="12"/>
      <c r="J23" s="17"/>
      <c r="K23" s="14">
        <v>31.92</v>
      </c>
      <c r="L23" s="10">
        <f t="shared" si="1"/>
        <v>104.33</v>
      </c>
      <c r="M23" s="11">
        <f t="shared" si="2"/>
        <v>0</v>
      </c>
      <c r="N23" s="12">
        <f t="shared" si="3"/>
        <v>0</v>
      </c>
      <c r="O23" s="17">
        <f t="shared" si="4"/>
        <v>0</v>
      </c>
      <c r="P23" s="14">
        <f t="shared" si="5"/>
        <v>31.92</v>
      </c>
    </row>
    <row r="24" spans="1:16" x14ac:dyDescent="0.25">
      <c r="A24" s="108" t="s">
        <v>124</v>
      </c>
      <c r="B24" s="125">
        <v>7</v>
      </c>
      <c r="C24" s="90" t="s">
        <v>29</v>
      </c>
      <c r="D24" s="81" t="s">
        <v>30</v>
      </c>
      <c r="E24" s="84" t="s">
        <v>11</v>
      </c>
      <c r="F24" s="85"/>
      <c r="G24" s="15"/>
      <c r="H24" s="16">
        <v>98</v>
      </c>
      <c r="I24" s="12"/>
      <c r="J24" s="13">
        <v>99.82</v>
      </c>
      <c r="K24" s="18"/>
      <c r="L24" s="10">
        <f t="shared" si="1"/>
        <v>0</v>
      </c>
      <c r="M24" s="16">
        <f t="shared" si="2"/>
        <v>98</v>
      </c>
      <c r="N24" s="12">
        <f t="shared" si="3"/>
        <v>0</v>
      </c>
      <c r="O24" s="13">
        <f t="shared" si="4"/>
        <v>99.82</v>
      </c>
      <c r="P24" s="18">
        <f t="shared" si="5"/>
        <v>0</v>
      </c>
    </row>
    <row r="25" spans="1:16" x14ac:dyDescent="0.25">
      <c r="A25" s="108"/>
      <c r="B25" s="126"/>
      <c r="C25" s="91"/>
      <c r="D25" s="82"/>
      <c r="E25" s="86" t="s">
        <v>16</v>
      </c>
      <c r="F25" s="87"/>
      <c r="G25" s="10">
        <v>100</v>
      </c>
      <c r="H25" s="11"/>
      <c r="I25" s="12"/>
      <c r="J25" s="17"/>
      <c r="K25" s="14">
        <v>99.59</v>
      </c>
      <c r="L25" s="10">
        <f t="shared" si="1"/>
        <v>100</v>
      </c>
      <c r="M25" s="11">
        <f t="shared" si="2"/>
        <v>0</v>
      </c>
      <c r="N25" s="12">
        <f t="shared" si="3"/>
        <v>0</v>
      </c>
      <c r="O25" s="17">
        <f t="shared" si="4"/>
        <v>0</v>
      </c>
      <c r="P25" s="14">
        <f t="shared" si="5"/>
        <v>99.59</v>
      </c>
    </row>
    <row r="26" spans="1:16" x14ac:dyDescent="0.25">
      <c r="A26" s="108"/>
      <c r="B26" s="126"/>
      <c r="C26" s="91"/>
      <c r="D26" s="82"/>
      <c r="E26" s="88" t="s">
        <v>13</v>
      </c>
      <c r="F26" s="89"/>
      <c r="G26" s="25" t="s">
        <v>45</v>
      </c>
      <c r="H26" s="11"/>
      <c r="I26" s="12"/>
      <c r="J26" s="17"/>
      <c r="K26" s="14">
        <v>99.27</v>
      </c>
      <c r="L26" s="10">
        <f t="shared" si="1"/>
        <v>0</v>
      </c>
      <c r="M26" s="11">
        <f t="shared" si="2"/>
        <v>0</v>
      </c>
      <c r="N26" s="12">
        <f t="shared" si="3"/>
        <v>0</v>
      </c>
      <c r="O26" s="17">
        <f t="shared" si="4"/>
        <v>0</v>
      </c>
      <c r="P26" s="14">
        <f t="shared" si="5"/>
        <v>99.27</v>
      </c>
    </row>
    <row r="27" spans="1:16" x14ac:dyDescent="0.25">
      <c r="A27" s="108"/>
      <c r="B27" s="127"/>
      <c r="C27" s="92"/>
      <c r="D27" s="83"/>
      <c r="E27" s="88" t="s">
        <v>17</v>
      </c>
      <c r="F27" s="89"/>
      <c r="G27" s="10">
        <v>100</v>
      </c>
      <c r="H27" s="11"/>
      <c r="I27" s="12"/>
      <c r="J27" s="17"/>
      <c r="K27" s="14">
        <v>99.32</v>
      </c>
      <c r="L27" s="10">
        <f t="shared" si="1"/>
        <v>100</v>
      </c>
      <c r="M27" s="11">
        <f t="shared" si="2"/>
        <v>0</v>
      </c>
      <c r="N27" s="12">
        <f t="shared" si="3"/>
        <v>0</v>
      </c>
      <c r="O27" s="17">
        <f t="shared" si="4"/>
        <v>0</v>
      </c>
      <c r="P27" s="14">
        <f t="shared" si="5"/>
        <v>99.32</v>
      </c>
    </row>
    <row r="28" spans="1:16" x14ac:dyDescent="0.25">
      <c r="A28" s="108" t="s">
        <v>124</v>
      </c>
      <c r="B28" s="125">
        <v>8</v>
      </c>
      <c r="C28" s="78" t="s">
        <v>31</v>
      </c>
      <c r="D28" s="81" t="s">
        <v>32</v>
      </c>
      <c r="E28" s="84" t="s">
        <v>11</v>
      </c>
      <c r="F28" s="85"/>
      <c r="G28" s="15"/>
      <c r="H28" s="16">
        <v>1.5</v>
      </c>
      <c r="I28" s="12"/>
      <c r="J28" s="13">
        <v>0.34</v>
      </c>
      <c r="K28" s="18"/>
      <c r="L28" s="10">
        <f t="shared" si="1"/>
        <v>0</v>
      </c>
      <c r="M28" s="16">
        <f t="shared" si="2"/>
        <v>1.5</v>
      </c>
      <c r="N28" s="12">
        <f t="shared" si="3"/>
        <v>0</v>
      </c>
      <c r="O28" s="13">
        <f t="shared" si="4"/>
        <v>0.34</v>
      </c>
      <c r="P28" s="18">
        <f t="shared" si="5"/>
        <v>0</v>
      </c>
    </row>
    <row r="29" spans="1:16" x14ac:dyDescent="0.25">
      <c r="A29" s="108"/>
      <c r="B29" s="126"/>
      <c r="C29" s="79"/>
      <c r="D29" s="82"/>
      <c r="E29" s="86" t="s">
        <v>16</v>
      </c>
      <c r="F29" s="87"/>
      <c r="G29" s="10">
        <v>1.04</v>
      </c>
      <c r="H29" s="11"/>
      <c r="I29" s="12"/>
      <c r="J29" s="17"/>
      <c r="K29" s="14">
        <v>4.22</v>
      </c>
      <c r="L29" s="10">
        <f t="shared" si="1"/>
        <v>1.04</v>
      </c>
      <c r="M29" s="11">
        <f t="shared" si="2"/>
        <v>0</v>
      </c>
      <c r="N29" s="12">
        <f t="shared" si="3"/>
        <v>0</v>
      </c>
      <c r="O29" s="17">
        <f t="shared" si="4"/>
        <v>0</v>
      </c>
      <c r="P29" s="14">
        <f t="shared" si="5"/>
        <v>4.22</v>
      </c>
    </row>
    <row r="30" spans="1:16" x14ac:dyDescent="0.25">
      <c r="A30" s="108"/>
      <c r="B30" s="126"/>
      <c r="C30" s="79"/>
      <c r="D30" s="82"/>
      <c r="E30" s="88" t="s">
        <v>13</v>
      </c>
      <c r="F30" s="89"/>
      <c r="G30" s="25" t="s">
        <v>45</v>
      </c>
      <c r="H30" s="11"/>
      <c r="I30" s="12"/>
      <c r="J30" s="17"/>
      <c r="K30" s="14">
        <v>0.84</v>
      </c>
      <c r="L30" s="10">
        <f t="shared" si="1"/>
        <v>0</v>
      </c>
      <c r="M30" s="11">
        <f t="shared" si="2"/>
        <v>0</v>
      </c>
      <c r="N30" s="12">
        <f t="shared" si="3"/>
        <v>0</v>
      </c>
      <c r="O30" s="17">
        <f t="shared" si="4"/>
        <v>0</v>
      </c>
      <c r="P30" s="14">
        <f t="shared" si="5"/>
        <v>0.84</v>
      </c>
    </row>
    <row r="31" spans="1:16" x14ac:dyDescent="0.25">
      <c r="A31" s="108"/>
      <c r="B31" s="127"/>
      <c r="C31" s="80"/>
      <c r="D31" s="83"/>
      <c r="E31" s="88" t="s">
        <v>17</v>
      </c>
      <c r="F31" s="89"/>
      <c r="G31" s="10">
        <v>0.28999999999999998</v>
      </c>
      <c r="H31" s="11"/>
      <c r="I31" s="12"/>
      <c r="J31" s="17"/>
      <c r="K31" s="14">
        <v>0.46</v>
      </c>
      <c r="L31" s="10">
        <f t="shared" si="1"/>
        <v>0.28999999999999998</v>
      </c>
      <c r="M31" s="11">
        <f t="shared" si="2"/>
        <v>0</v>
      </c>
      <c r="N31" s="12">
        <f t="shared" si="3"/>
        <v>0</v>
      </c>
      <c r="O31" s="17">
        <f t="shared" si="4"/>
        <v>0</v>
      </c>
      <c r="P31" s="14">
        <f t="shared" si="5"/>
        <v>0.46</v>
      </c>
    </row>
  </sheetData>
  <mergeCells count="55">
    <mergeCell ref="B2:B3"/>
    <mergeCell ref="C2:C3"/>
    <mergeCell ref="D2:D3"/>
    <mergeCell ref="E2:F2"/>
    <mergeCell ref="E3:F3"/>
    <mergeCell ref="E6:F6"/>
    <mergeCell ref="E7:F7"/>
    <mergeCell ref="E8:F8"/>
    <mergeCell ref="E9:F9"/>
    <mergeCell ref="B8:B11"/>
    <mergeCell ref="B4:B7"/>
    <mergeCell ref="C4:C7"/>
    <mergeCell ref="D4:D7"/>
    <mergeCell ref="E4:F4"/>
    <mergeCell ref="E5:F5"/>
    <mergeCell ref="E10:F10"/>
    <mergeCell ref="E11:F11"/>
    <mergeCell ref="B12:B15"/>
    <mergeCell ref="C12:C15"/>
    <mergeCell ref="D12:D15"/>
    <mergeCell ref="C8:C11"/>
    <mergeCell ref="D8:D11"/>
    <mergeCell ref="B16:B19"/>
    <mergeCell ref="C16:C19"/>
    <mergeCell ref="D16:D19"/>
    <mergeCell ref="B20:B23"/>
    <mergeCell ref="C20:C23"/>
    <mergeCell ref="D20:D23"/>
    <mergeCell ref="B24:B27"/>
    <mergeCell ref="C24:C27"/>
    <mergeCell ref="D24:D27"/>
    <mergeCell ref="E24:F24"/>
    <mergeCell ref="E25:F25"/>
    <mergeCell ref="E26:F26"/>
    <mergeCell ref="E31:F31"/>
    <mergeCell ref="E20:F20"/>
    <mergeCell ref="E21:F21"/>
    <mergeCell ref="E22:F22"/>
    <mergeCell ref="E23:F23"/>
    <mergeCell ref="A24:A27"/>
    <mergeCell ref="A28:A31"/>
    <mergeCell ref="E1:F1"/>
    <mergeCell ref="A2:A3"/>
    <mergeCell ref="A4:A7"/>
    <mergeCell ref="A8:A11"/>
    <mergeCell ref="A12:A15"/>
    <mergeCell ref="A16:A19"/>
    <mergeCell ref="A20:A23"/>
    <mergeCell ref="E27:F27"/>
    <mergeCell ref="B28:B31"/>
    <mergeCell ref="C28:C31"/>
    <mergeCell ref="D28:D31"/>
    <mergeCell ref="E28:F28"/>
    <mergeCell ref="E29:F29"/>
    <mergeCell ref="E30:F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P31"/>
  <sheetViews>
    <sheetView workbookViewId="0">
      <selection activeCell="L3" sqref="L3"/>
    </sheetView>
  </sheetViews>
  <sheetFormatPr defaultRowHeight="13.2" x14ac:dyDescent="0.25"/>
  <cols>
    <col min="1" max="1" width="20.5546875" customWidth="1"/>
  </cols>
  <sheetData>
    <row r="1" spans="1:16" ht="40.799999999999997" x14ac:dyDescent="0.25">
      <c r="A1" s="31" t="s">
        <v>115</v>
      </c>
      <c r="B1" s="64" t="s">
        <v>0</v>
      </c>
      <c r="C1" s="57" t="s">
        <v>1</v>
      </c>
      <c r="D1" s="58" t="s">
        <v>2</v>
      </c>
      <c r="E1" s="123" t="s">
        <v>3</v>
      </c>
      <c r="F1" s="124"/>
      <c r="G1" s="59" t="s">
        <v>4</v>
      </c>
      <c r="H1" s="60" t="s">
        <v>5</v>
      </c>
      <c r="I1" s="61" t="s">
        <v>6</v>
      </c>
      <c r="J1" s="62" t="s">
        <v>7</v>
      </c>
      <c r="K1" s="63" t="s">
        <v>8</v>
      </c>
      <c r="L1" s="59" t="s">
        <v>4</v>
      </c>
      <c r="M1" s="60" t="s">
        <v>5</v>
      </c>
      <c r="N1" s="61" t="s">
        <v>6</v>
      </c>
      <c r="O1" s="62" t="s">
        <v>7</v>
      </c>
      <c r="P1" s="63" t="s">
        <v>8</v>
      </c>
    </row>
    <row r="2" spans="1:16" x14ac:dyDescent="0.25">
      <c r="A2" s="107" t="s">
        <v>125</v>
      </c>
      <c r="B2" s="125">
        <v>1</v>
      </c>
      <c r="C2" s="104" t="s">
        <v>9</v>
      </c>
      <c r="D2" s="104" t="s">
        <v>54</v>
      </c>
      <c r="E2" s="84" t="s">
        <v>11</v>
      </c>
      <c r="F2" s="85"/>
      <c r="G2" s="10">
        <v>100</v>
      </c>
      <c r="H2" s="16">
        <v>100</v>
      </c>
      <c r="I2" s="12"/>
      <c r="J2" s="13">
        <v>98.83</v>
      </c>
      <c r="K2" s="14">
        <v>99.9</v>
      </c>
      <c r="L2" s="10">
        <f>IF(OR(G2="NA",G2=0),0,(1*G2))</f>
        <v>100</v>
      </c>
      <c r="M2" s="16">
        <f t="shared" ref="M2:P2" si="0">IF(OR(H2="NA",H2=0),0,(1*H2))</f>
        <v>100</v>
      </c>
      <c r="N2" s="12">
        <f t="shared" si="0"/>
        <v>0</v>
      </c>
      <c r="O2" s="13">
        <f t="shared" si="0"/>
        <v>98.83</v>
      </c>
      <c r="P2" s="14">
        <f t="shared" si="0"/>
        <v>99.9</v>
      </c>
    </row>
    <row r="3" spans="1:16" x14ac:dyDescent="0.25">
      <c r="A3" s="108"/>
      <c r="B3" s="127"/>
      <c r="C3" s="106"/>
      <c r="D3" s="106"/>
      <c r="E3" s="88" t="s">
        <v>13</v>
      </c>
      <c r="F3" s="89"/>
      <c r="G3" s="15"/>
      <c r="H3" s="11"/>
      <c r="I3" s="12"/>
      <c r="J3" s="17"/>
      <c r="K3" s="18"/>
      <c r="L3" s="10">
        <f t="shared" ref="L3:L10" si="1">IF(OR(G3="NA",G3=0),0,(1*G3))</f>
        <v>0</v>
      </c>
      <c r="M3" s="11">
        <f t="shared" ref="M3:M10" si="2">IF(OR(H3="NA",H3=0),0,(1*H3))</f>
        <v>0</v>
      </c>
      <c r="N3" s="12">
        <f t="shared" ref="N3:N10" si="3">IF(OR(I3="NA",I3=0),0,(1*I3))</f>
        <v>0</v>
      </c>
      <c r="O3" s="17">
        <f t="shared" ref="O3:O10" si="4">IF(OR(J3="NA",J3=0),0,(1*J3))</f>
        <v>0</v>
      </c>
      <c r="P3" s="18">
        <f t="shared" ref="P3:P10" si="5">IF(OR(K3="NA",K3=0),0,(1*K3))</f>
        <v>0</v>
      </c>
    </row>
    <row r="4" spans="1:16" x14ac:dyDescent="0.25">
      <c r="A4" s="108" t="s">
        <v>125</v>
      </c>
      <c r="B4" s="125">
        <v>2</v>
      </c>
      <c r="C4" s="93" t="s">
        <v>14</v>
      </c>
      <c r="D4" s="93" t="s">
        <v>15</v>
      </c>
      <c r="E4" s="84" t="s">
        <v>11</v>
      </c>
      <c r="F4" s="85"/>
      <c r="G4" s="15"/>
      <c r="H4" s="16">
        <v>93</v>
      </c>
      <c r="I4" s="12"/>
      <c r="J4" s="13">
        <v>100</v>
      </c>
      <c r="K4" s="18"/>
      <c r="L4" s="10">
        <f t="shared" si="1"/>
        <v>0</v>
      </c>
      <c r="M4" s="16">
        <f t="shared" si="2"/>
        <v>93</v>
      </c>
      <c r="N4" s="12">
        <f t="shared" si="3"/>
        <v>0</v>
      </c>
      <c r="O4" s="13">
        <f t="shared" si="4"/>
        <v>100</v>
      </c>
      <c r="P4" s="18">
        <f t="shared" si="5"/>
        <v>0</v>
      </c>
    </row>
    <row r="5" spans="1:16" x14ac:dyDescent="0.25">
      <c r="A5" s="108"/>
      <c r="B5" s="126"/>
      <c r="C5" s="94"/>
      <c r="D5" s="94"/>
      <c r="E5" s="86" t="s">
        <v>16</v>
      </c>
      <c r="F5" s="87"/>
      <c r="G5" s="10">
        <v>100</v>
      </c>
      <c r="H5" s="11"/>
      <c r="I5" s="12"/>
      <c r="J5" s="17"/>
      <c r="K5" s="14">
        <v>99.75</v>
      </c>
      <c r="L5" s="10">
        <f t="shared" si="1"/>
        <v>100</v>
      </c>
      <c r="M5" s="11">
        <f t="shared" si="2"/>
        <v>0</v>
      </c>
      <c r="N5" s="12">
        <f t="shared" si="3"/>
        <v>0</v>
      </c>
      <c r="O5" s="17">
        <f t="shared" si="4"/>
        <v>0</v>
      </c>
      <c r="P5" s="14">
        <f t="shared" si="5"/>
        <v>99.75</v>
      </c>
    </row>
    <row r="6" spans="1:16" x14ac:dyDescent="0.25">
      <c r="A6" s="108"/>
      <c r="B6" s="126"/>
      <c r="C6" s="94"/>
      <c r="D6" s="94"/>
      <c r="E6" s="88" t="s">
        <v>13</v>
      </c>
      <c r="F6" s="89"/>
      <c r="G6" s="25" t="s">
        <v>45</v>
      </c>
      <c r="H6" s="11"/>
      <c r="I6" s="12"/>
      <c r="J6" s="17"/>
      <c r="K6" s="28" t="s">
        <v>45</v>
      </c>
      <c r="L6" s="10">
        <f t="shared" si="1"/>
        <v>0</v>
      </c>
      <c r="M6" s="11">
        <f t="shared" si="2"/>
        <v>0</v>
      </c>
      <c r="N6" s="12">
        <f t="shared" si="3"/>
        <v>0</v>
      </c>
      <c r="O6" s="17">
        <f t="shared" si="4"/>
        <v>0</v>
      </c>
      <c r="P6" s="28">
        <f t="shared" si="5"/>
        <v>0</v>
      </c>
    </row>
    <row r="7" spans="1:16" x14ac:dyDescent="0.25">
      <c r="A7" s="108"/>
      <c r="B7" s="127"/>
      <c r="C7" s="95"/>
      <c r="D7" s="95"/>
      <c r="E7" s="88" t="s">
        <v>17</v>
      </c>
      <c r="F7" s="89"/>
      <c r="G7" s="10">
        <v>100</v>
      </c>
      <c r="H7" s="11"/>
      <c r="I7" s="12"/>
      <c r="J7" s="17"/>
      <c r="K7" s="14">
        <v>100</v>
      </c>
      <c r="L7" s="10">
        <f t="shared" si="1"/>
        <v>100</v>
      </c>
      <c r="M7" s="11">
        <f t="shared" si="2"/>
        <v>0</v>
      </c>
      <c r="N7" s="12">
        <f t="shared" si="3"/>
        <v>0</v>
      </c>
      <c r="O7" s="17">
        <f t="shared" si="4"/>
        <v>0</v>
      </c>
      <c r="P7" s="14">
        <f t="shared" si="5"/>
        <v>100</v>
      </c>
    </row>
    <row r="8" spans="1:16" x14ac:dyDescent="0.25">
      <c r="A8" s="108" t="s">
        <v>125</v>
      </c>
      <c r="B8" s="125">
        <v>3</v>
      </c>
      <c r="C8" s="93" t="s">
        <v>18</v>
      </c>
      <c r="D8" s="93" t="s">
        <v>19</v>
      </c>
      <c r="E8" s="84" t="s">
        <v>11</v>
      </c>
      <c r="F8" s="85"/>
      <c r="G8" s="15"/>
      <c r="H8" s="16">
        <v>90</v>
      </c>
      <c r="I8" s="12"/>
      <c r="J8" s="13">
        <v>100</v>
      </c>
      <c r="K8" s="18"/>
      <c r="L8" s="10">
        <f t="shared" si="1"/>
        <v>0</v>
      </c>
      <c r="M8" s="16">
        <f t="shared" si="2"/>
        <v>90</v>
      </c>
      <c r="N8" s="12">
        <f t="shared" si="3"/>
        <v>0</v>
      </c>
      <c r="O8" s="13">
        <f t="shared" si="4"/>
        <v>100</v>
      </c>
      <c r="P8" s="18">
        <f t="shared" si="5"/>
        <v>0</v>
      </c>
    </row>
    <row r="9" spans="1:16" x14ac:dyDescent="0.25">
      <c r="A9" s="108"/>
      <c r="B9" s="126"/>
      <c r="C9" s="94"/>
      <c r="D9" s="94"/>
      <c r="E9" s="86" t="s">
        <v>16</v>
      </c>
      <c r="F9" s="87"/>
      <c r="G9" s="10">
        <v>100</v>
      </c>
      <c r="H9" s="11"/>
      <c r="I9" s="12"/>
      <c r="J9" s="17"/>
      <c r="K9" s="14">
        <v>100</v>
      </c>
      <c r="L9" s="10">
        <f t="shared" si="1"/>
        <v>100</v>
      </c>
      <c r="M9" s="11">
        <f t="shared" si="2"/>
        <v>0</v>
      </c>
      <c r="N9" s="12">
        <f t="shared" si="3"/>
        <v>0</v>
      </c>
      <c r="O9" s="17">
        <f t="shared" si="4"/>
        <v>0</v>
      </c>
      <c r="P9" s="14">
        <f t="shared" si="5"/>
        <v>100</v>
      </c>
    </row>
    <row r="10" spans="1:16" x14ac:dyDescent="0.25">
      <c r="A10" s="108"/>
      <c r="B10" s="126"/>
      <c r="C10" s="94"/>
      <c r="D10" s="94"/>
      <c r="E10" s="88" t="s">
        <v>13</v>
      </c>
      <c r="F10" s="89"/>
      <c r="G10" s="25" t="s">
        <v>45</v>
      </c>
      <c r="H10" s="11"/>
      <c r="I10" s="12"/>
      <c r="J10" s="17"/>
      <c r="K10" s="28" t="s">
        <v>45</v>
      </c>
      <c r="L10" s="10">
        <f t="shared" si="1"/>
        <v>0</v>
      </c>
      <c r="M10" s="11">
        <f t="shared" si="2"/>
        <v>0</v>
      </c>
      <c r="N10" s="12">
        <f t="shared" si="3"/>
        <v>0</v>
      </c>
      <c r="O10" s="17">
        <f t="shared" si="4"/>
        <v>0</v>
      </c>
      <c r="P10" s="28">
        <f t="shared" si="5"/>
        <v>0</v>
      </c>
    </row>
    <row r="11" spans="1:16" x14ac:dyDescent="0.25">
      <c r="A11" s="108"/>
      <c r="B11" s="127"/>
      <c r="C11" s="95"/>
      <c r="D11" s="95"/>
      <c r="E11" s="88" t="s">
        <v>17</v>
      </c>
      <c r="F11" s="89"/>
      <c r="G11" s="10">
        <v>100</v>
      </c>
      <c r="H11" s="11"/>
      <c r="I11" s="12"/>
      <c r="J11" s="17"/>
      <c r="K11" s="14">
        <v>100</v>
      </c>
      <c r="L11" s="10">
        <f t="shared" ref="L11:L31" si="6">IF(OR(G11="NA",G11=0),0,(1*G11))</f>
        <v>100</v>
      </c>
      <c r="M11" s="11">
        <f t="shared" ref="M11:M31" si="7">IF(OR(H11="NA",H11=0),0,(1*H11))</f>
        <v>0</v>
      </c>
      <c r="N11" s="12">
        <f t="shared" ref="N11:N31" si="8">IF(OR(I11="NA",I11=0),0,(1*I11))</f>
        <v>0</v>
      </c>
      <c r="O11" s="17">
        <f t="shared" ref="O11:O31" si="9">IF(OR(J11="NA",J11=0),0,(1*J11))</f>
        <v>0</v>
      </c>
      <c r="P11" s="14">
        <f t="shared" ref="P11:P31" si="10">IF(OR(K11="NA",K11=0),0,(1*K11))</f>
        <v>100</v>
      </c>
    </row>
    <row r="12" spans="1:16" x14ac:dyDescent="0.25">
      <c r="A12" s="108" t="s">
        <v>125</v>
      </c>
      <c r="B12" s="125">
        <v>4</v>
      </c>
      <c r="C12" s="96" t="s">
        <v>20</v>
      </c>
      <c r="D12" s="99" t="s">
        <v>21</v>
      </c>
      <c r="E12" s="8" t="s">
        <v>22</v>
      </c>
      <c r="F12" s="19" t="s">
        <v>23</v>
      </c>
      <c r="G12" s="15"/>
      <c r="H12" s="11"/>
      <c r="I12" s="12"/>
      <c r="J12" s="17"/>
      <c r="K12" s="18"/>
      <c r="L12" s="10">
        <f t="shared" si="6"/>
        <v>0</v>
      </c>
      <c r="M12" s="11">
        <f t="shared" si="7"/>
        <v>0</v>
      </c>
      <c r="N12" s="12">
        <f t="shared" si="8"/>
        <v>0</v>
      </c>
      <c r="O12" s="17">
        <f t="shared" si="9"/>
        <v>0</v>
      </c>
      <c r="P12" s="18">
        <f t="shared" si="10"/>
        <v>0</v>
      </c>
    </row>
    <row r="13" spans="1:16" x14ac:dyDescent="0.25">
      <c r="A13" s="108"/>
      <c r="B13" s="126"/>
      <c r="C13" s="97"/>
      <c r="D13" s="100"/>
      <c r="E13" s="8" t="s">
        <v>12</v>
      </c>
      <c r="F13" s="19" t="s">
        <v>23</v>
      </c>
      <c r="G13" s="10">
        <v>23.87</v>
      </c>
      <c r="H13" s="16">
        <v>62</v>
      </c>
      <c r="I13" s="12"/>
      <c r="J13" s="17"/>
      <c r="K13" s="14">
        <v>194.81</v>
      </c>
      <c r="L13" s="10">
        <f t="shared" si="6"/>
        <v>23.87</v>
      </c>
      <c r="M13" s="16">
        <f t="shared" si="7"/>
        <v>62</v>
      </c>
      <c r="N13" s="12">
        <f t="shared" si="8"/>
        <v>0</v>
      </c>
      <c r="O13" s="17">
        <f t="shared" si="9"/>
        <v>0</v>
      </c>
      <c r="P13" s="14">
        <f t="shared" si="10"/>
        <v>194.81</v>
      </c>
    </row>
    <row r="14" spans="1:16" x14ac:dyDescent="0.25">
      <c r="A14" s="108"/>
      <c r="B14" s="126"/>
      <c r="C14" s="97"/>
      <c r="D14" s="100"/>
      <c r="E14" s="8" t="s">
        <v>13</v>
      </c>
      <c r="F14" s="19" t="s">
        <v>23</v>
      </c>
      <c r="G14" s="25" t="s">
        <v>45</v>
      </c>
      <c r="H14" s="16">
        <v>906.66</v>
      </c>
      <c r="I14" s="12"/>
      <c r="J14" s="17"/>
      <c r="K14" s="28" t="s">
        <v>45</v>
      </c>
      <c r="L14" s="10">
        <f t="shared" si="6"/>
        <v>0</v>
      </c>
      <c r="M14" s="16">
        <f t="shared" si="7"/>
        <v>906.66</v>
      </c>
      <c r="N14" s="12">
        <f t="shared" si="8"/>
        <v>0</v>
      </c>
      <c r="O14" s="17">
        <f t="shared" si="9"/>
        <v>0</v>
      </c>
      <c r="P14" s="28">
        <f t="shared" si="10"/>
        <v>0</v>
      </c>
    </row>
    <row r="15" spans="1:16" x14ac:dyDescent="0.25">
      <c r="A15" s="108"/>
      <c r="B15" s="127"/>
      <c r="C15" s="98"/>
      <c r="D15" s="101"/>
      <c r="E15" s="8" t="s">
        <v>17</v>
      </c>
      <c r="F15" s="19" t="s">
        <v>24</v>
      </c>
      <c r="G15" s="10">
        <v>16127.43</v>
      </c>
      <c r="H15" s="11"/>
      <c r="I15" s="12"/>
      <c r="J15" s="13">
        <v>4857.8900000000003</v>
      </c>
      <c r="K15" s="14">
        <v>15840.72</v>
      </c>
      <c r="L15" s="10">
        <f t="shared" si="6"/>
        <v>16127.43</v>
      </c>
      <c r="M15" s="11">
        <f t="shared" si="7"/>
        <v>0</v>
      </c>
      <c r="N15" s="12">
        <f t="shared" si="8"/>
        <v>0</v>
      </c>
      <c r="O15" s="13">
        <f t="shared" si="9"/>
        <v>4857.8900000000003</v>
      </c>
      <c r="P15" s="14">
        <f t="shared" si="10"/>
        <v>15840.72</v>
      </c>
    </row>
    <row r="16" spans="1:16" x14ac:dyDescent="0.25">
      <c r="A16" s="108" t="s">
        <v>125</v>
      </c>
      <c r="B16" s="125">
        <v>5</v>
      </c>
      <c r="C16" s="90" t="s">
        <v>25</v>
      </c>
      <c r="D16" s="93" t="s">
        <v>26</v>
      </c>
      <c r="E16" s="8" t="s">
        <v>22</v>
      </c>
      <c r="F16" s="19" t="s">
        <v>23</v>
      </c>
      <c r="G16" s="15"/>
      <c r="H16" s="11"/>
      <c r="I16" s="12"/>
      <c r="J16" s="17"/>
      <c r="K16" s="18"/>
      <c r="L16" s="10">
        <f t="shared" si="6"/>
        <v>0</v>
      </c>
      <c r="M16" s="11">
        <f t="shared" si="7"/>
        <v>0</v>
      </c>
      <c r="N16" s="12">
        <f t="shared" si="8"/>
        <v>0</v>
      </c>
      <c r="O16" s="17">
        <f t="shared" si="9"/>
        <v>0</v>
      </c>
      <c r="P16" s="18">
        <f t="shared" si="10"/>
        <v>0</v>
      </c>
    </row>
    <row r="17" spans="1:16" x14ac:dyDescent="0.25">
      <c r="A17" s="108"/>
      <c r="B17" s="126"/>
      <c r="C17" s="91"/>
      <c r="D17" s="94"/>
      <c r="E17" s="8" t="s">
        <v>12</v>
      </c>
      <c r="F17" s="19" t="s">
        <v>23</v>
      </c>
      <c r="G17" s="10">
        <v>29.34</v>
      </c>
      <c r="H17" s="16">
        <v>102.33</v>
      </c>
      <c r="I17" s="12"/>
      <c r="J17" s="17"/>
      <c r="K17" s="14">
        <v>219.55</v>
      </c>
      <c r="L17" s="10">
        <f t="shared" si="6"/>
        <v>29.34</v>
      </c>
      <c r="M17" s="16">
        <f t="shared" si="7"/>
        <v>102.33</v>
      </c>
      <c r="N17" s="12">
        <f t="shared" si="8"/>
        <v>0</v>
      </c>
      <c r="O17" s="17">
        <f t="shared" si="9"/>
        <v>0</v>
      </c>
      <c r="P17" s="14">
        <f t="shared" si="10"/>
        <v>219.55</v>
      </c>
    </row>
    <row r="18" spans="1:16" x14ac:dyDescent="0.25">
      <c r="A18" s="108"/>
      <c r="B18" s="126"/>
      <c r="C18" s="91"/>
      <c r="D18" s="94"/>
      <c r="E18" s="8" t="s">
        <v>13</v>
      </c>
      <c r="F18" s="19" t="s">
        <v>23</v>
      </c>
      <c r="G18" s="25" t="s">
        <v>45</v>
      </c>
      <c r="H18" s="16">
        <v>2820</v>
      </c>
      <c r="I18" s="12"/>
      <c r="J18" s="17"/>
      <c r="K18" s="28" t="s">
        <v>45</v>
      </c>
      <c r="L18" s="10">
        <f t="shared" si="6"/>
        <v>0</v>
      </c>
      <c r="M18" s="16">
        <f t="shared" si="7"/>
        <v>2820</v>
      </c>
      <c r="N18" s="12">
        <f t="shared" si="8"/>
        <v>0</v>
      </c>
      <c r="O18" s="17">
        <f t="shared" si="9"/>
        <v>0</v>
      </c>
      <c r="P18" s="28">
        <f t="shared" si="10"/>
        <v>0</v>
      </c>
    </row>
    <row r="19" spans="1:16" x14ac:dyDescent="0.25">
      <c r="A19" s="108"/>
      <c r="B19" s="127"/>
      <c r="C19" s="92"/>
      <c r="D19" s="95"/>
      <c r="E19" s="8" t="s">
        <v>17</v>
      </c>
      <c r="F19" s="19" t="s">
        <v>24</v>
      </c>
      <c r="G19" s="10">
        <v>25882.82</v>
      </c>
      <c r="H19" s="11"/>
      <c r="I19" s="12"/>
      <c r="J19" s="13">
        <v>17296.79</v>
      </c>
      <c r="K19" s="14">
        <v>27288.7</v>
      </c>
      <c r="L19" s="10">
        <f t="shared" si="6"/>
        <v>25882.82</v>
      </c>
      <c r="M19" s="11">
        <f t="shared" si="7"/>
        <v>0</v>
      </c>
      <c r="N19" s="12">
        <f t="shared" si="8"/>
        <v>0</v>
      </c>
      <c r="O19" s="13">
        <f t="shared" si="9"/>
        <v>17296.79</v>
      </c>
      <c r="P19" s="14">
        <f t="shared" si="10"/>
        <v>27288.7</v>
      </c>
    </row>
    <row r="20" spans="1:16" x14ac:dyDescent="0.25">
      <c r="A20" s="108" t="s">
        <v>125</v>
      </c>
      <c r="B20" s="125">
        <v>6</v>
      </c>
      <c r="C20" s="93" t="s">
        <v>27</v>
      </c>
      <c r="D20" s="93" t="s">
        <v>28</v>
      </c>
      <c r="E20" s="84" t="s">
        <v>11</v>
      </c>
      <c r="F20" s="85"/>
      <c r="G20" s="15"/>
      <c r="H20" s="16">
        <v>191</v>
      </c>
      <c r="I20" s="12"/>
      <c r="J20" s="13">
        <v>44.19</v>
      </c>
      <c r="K20" s="18"/>
      <c r="L20" s="10">
        <f t="shared" si="6"/>
        <v>0</v>
      </c>
      <c r="M20" s="16">
        <f t="shared" si="7"/>
        <v>191</v>
      </c>
      <c r="N20" s="12">
        <f t="shared" si="8"/>
        <v>0</v>
      </c>
      <c r="O20" s="13">
        <f t="shared" si="9"/>
        <v>44.19</v>
      </c>
      <c r="P20" s="18">
        <f t="shared" si="10"/>
        <v>0</v>
      </c>
    </row>
    <row r="21" spans="1:16" x14ac:dyDescent="0.25">
      <c r="A21" s="108"/>
      <c r="B21" s="126"/>
      <c r="C21" s="94"/>
      <c r="D21" s="94"/>
      <c r="E21" s="86" t="s">
        <v>16</v>
      </c>
      <c r="F21" s="87"/>
      <c r="G21" s="10">
        <v>204.67</v>
      </c>
      <c r="H21" s="11"/>
      <c r="I21" s="12"/>
      <c r="J21" s="17"/>
      <c r="K21" s="14">
        <v>136.33000000000001</v>
      </c>
      <c r="L21" s="10">
        <f t="shared" si="6"/>
        <v>204.67</v>
      </c>
      <c r="M21" s="11">
        <f t="shared" si="7"/>
        <v>0</v>
      </c>
      <c r="N21" s="12">
        <f t="shared" si="8"/>
        <v>0</v>
      </c>
      <c r="O21" s="17">
        <f t="shared" si="9"/>
        <v>0</v>
      </c>
      <c r="P21" s="14">
        <f t="shared" si="10"/>
        <v>136.33000000000001</v>
      </c>
    </row>
    <row r="22" spans="1:16" x14ac:dyDescent="0.25">
      <c r="A22" s="108"/>
      <c r="B22" s="126"/>
      <c r="C22" s="94"/>
      <c r="D22" s="94"/>
      <c r="E22" s="88" t="s">
        <v>13</v>
      </c>
      <c r="F22" s="89"/>
      <c r="G22" s="25" t="s">
        <v>45</v>
      </c>
      <c r="H22" s="11"/>
      <c r="I22" s="12"/>
      <c r="J22" s="17"/>
      <c r="K22" s="28" t="s">
        <v>45</v>
      </c>
      <c r="L22" s="10">
        <f t="shared" si="6"/>
        <v>0</v>
      </c>
      <c r="M22" s="11">
        <f t="shared" si="7"/>
        <v>0</v>
      </c>
      <c r="N22" s="12">
        <f t="shared" si="8"/>
        <v>0</v>
      </c>
      <c r="O22" s="17">
        <f t="shared" si="9"/>
        <v>0</v>
      </c>
      <c r="P22" s="28">
        <f t="shared" si="10"/>
        <v>0</v>
      </c>
    </row>
    <row r="23" spans="1:16" x14ac:dyDescent="0.25">
      <c r="A23" s="108"/>
      <c r="B23" s="127"/>
      <c r="C23" s="95"/>
      <c r="D23" s="95"/>
      <c r="E23" s="88" t="s">
        <v>17</v>
      </c>
      <c r="F23" s="89"/>
      <c r="G23" s="10">
        <v>35.520000000000003</v>
      </c>
      <c r="H23" s="11"/>
      <c r="I23" s="12"/>
      <c r="J23" s="17"/>
      <c r="K23" s="14">
        <v>28</v>
      </c>
      <c r="L23" s="10">
        <f t="shared" si="6"/>
        <v>35.520000000000003</v>
      </c>
      <c r="M23" s="11">
        <f t="shared" si="7"/>
        <v>0</v>
      </c>
      <c r="N23" s="12">
        <f t="shared" si="8"/>
        <v>0</v>
      </c>
      <c r="O23" s="17">
        <f t="shared" si="9"/>
        <v>0</v>
      </c>
      <c r="P23" s="14">
        <f t="shared" si="10"/>
        <v>28</v>
      </c>
    </row>
    <row r="24" spans="1:16" x14ac:dyDescent="0.25">
      <c r="A24" s="108" t="s">
        <v>125</v>
      </c>
      <c r="B24" s="125">
        <v>7</v>
      </c>
      <c r="C24" s="90" t="s">
        <v>29</v>
      </c>
      <c r="D24" s="81" t="s">
        <v>30</v>
      </c>
      <c r="E24" s="84" t="s">
        <v>11</v>
      </c>
      <c r="F24" s="85"/>
      <c r="G24" s="15"/>
      <c r="H24" s="11"/>
      <c r="I24" s="12"/>
      <c r="J24" s="13">
        <v>99.83</v>
      </c>
      <c r="K24" s="18"/>
      <c r="L24" s="10">
        <f t="shared" si="6"/>
        <v>0</v>
      </c>
      <c r="M24" s="11">
        <f t="shared" si="7"/>
        <v>0</v>
      </c>
      <c r="N24" s="12">
        <f t="shared" si="8"/>
        <v>0</v>
      </c>
      <c r="O24" s="13">
        <f t="shared" si="9"/>
        <v>99.83</v>
      </c>
      <c r="P24" s="18">
        <f t="shared" si="10"/>
        <v>0</v>
      </c>
    </row>
    <row r="25" spans="1:16" x14ac:dyDescent="0.25">
      <c r="A25" s="108"/>
      <c r="B25" s="126"/>
      <c r="C25" s="91"/>
      <c r="D25" s="82"/>
      <c r="E25" s="86" t="s">
        <v>16</v>
      </c>
      <c r="F25" s="87"/>
      <c r="G25" s="10">
        <v>100</v>
      </c>
      <c r="H25" s="16">
        <v>99.77</v>
      </c>
      <c r="I25" s="12"/>
      <c r="J25" s="17"/>
      <c r="K25" s="14">
        <v>99.15</v>
      </c>
      <c r="L25" s="10">
        <f t="shared" si="6"/>
        <v>100</v>
      </c>
      <c r="M25" s="16">
        <f t="shared" si="7"/>
        <v>99.77</v>
      </c>
      <c r="N25" s="12">
        <f t="shared" si="8"/>
        <v>0</v>
      </c>
      <c r="O25" s="17">
        <f t="shared" si="9"/>
        <v>0</v>
      </c>
      <c r="P25" s="14">
        <f t="shared" si="10"/>
        <v>99.15</v>
      </c>
    </row>
    <row r="26" spans="1:16" x14ac:dyDescent="0.25">
      <c r="A26" s="108"/>
      <c r="B26" s="126"/>
      <c r="C26" s="91"/>
      <c r="D26" s="82"/>
      <c r="E26" s="88" t="s">
        <v>13</v>
      </c>
      <c r="F26" s="89"/>
      <c r="G26" s="25" t="s">
        <v>45</v>
      </c>
      <c r="H26" s="16">
        <v>99.85</v>
      </c>
      <c r="I26" s="12"/>
      <c r="J26" s="17"/>
      <c r="K26" s="28" t="s">
        <v>45</v>
      </c>
      <c r="L26" s="10">
        <f t="shared" si="6"/>
        <v>0</v>
      </c>
      <c r="M26" s="16">
        <f t="shared" si="7"/>
        <v>99.85</v>
      </c>
      <c r="N26" s="12">
        <f t="shared" si="8"/>
        <v>0</v>
      </c>
      <c r="O26" s="17">
        <f t="shared" si="9"/>
        <v>0</v>
      </c>
      <c r="P26" s="28">
        <f t="shared" si="10"/>
        <v>0</v>
      </c>
    </row>
    <row r="27" spans="1:16" x14ac:dyDescent="0.25">
      <c r="A27" s="108"/>
      <c r="B27" s="127"/>
      <c r="C27" s="92"/>
      <c r="D27" s="83"/>
      <c r="E27" s="88" t="s">
        <v>17</v>
      </c>
      <c r="F27" s="89"/>
      <c r="G27" s="10">
        <v>99.95</v>
      </c>
      <c r="H27" s="11"/>
      <c r="I27" s="12"/>
      <c r="J27" s="17"/>
      <c r="K27" s="14">
        <v>99.98</v>
      </c>
      <c r="L27" s="10">
        <f t="shared" si="6"/>
        <v>99.95</v>
      </c>
      <c r="M27" s="11">
        <f t="shared" si="7"/>
        <v>0</v>
      </c>
      <c r="N27" s="12">
        <f t="shared" si="8"/>
        <v>0</v>
      </c>
      <c r="O27" s="17">
        <f t="shared" si="9"/>
        <v>0</v>
      </c>
      <c r="P27" s="14">
        <f t="shared" si="10"/>
        <v>99.98</v>
      </c>
    </row>
    <row r="28" spans="1:16" x14ac:dyDescent="0.25">
      <c r="A28" s="108" t="s">
        <v>125</v>
      </c>
      <c r="B28" s="125">
        <v>8</v>
      </c>
      <c r="C28" s="78" t="s">
        <v>31</v>
      </c>
      <c r="D28" s="81" t="s">
        <v>32</v>
      </c>
      <c r="E28" s="84" t="s">
        <v>11</v>
      </c>
      <c r="F28" s="85"/>
      <c r="G28" s="15"/>
      <c r="H28" s="16">
        <v>1.4</v>
      </c>
      <c r="I28" s="12"/>
      <c r="J28" s="13">
        <v>0.26</v>
      </c>
      <c r="K28" s="18"/>
      <c r="L28" s="10">
        <f t="shared" si="6"/>
        <v>0</v>
      </c>
      <c r="M28" s="16">
        <f t="shared" si="7"/>
        <v>1.4</v>
      </c>
      <c r="N28" s="12">
        <f t="shared" si="8"/>
        <v>0</v>
      </c>
      <c r="O28" s="13">
        <f t="shared" si="9"/>
        <v>0.26</v>
      </c>
      <c r="P28" s="18">
        <f t="shared" si="10"/>
        <v>0</v>
      </c>
    </row>
    <row r="29" spans="1:16" x14ac:dyDescent="0.25">
      <c r="A29" s="108"/>
      <c r="B29" s="126"/>
      <c r="C29" s="79"/>
      <c r="D29" s="82"/>
      <c r="E29" s="88" t="s">
        <v>12</v>
      </c>
      <c r="F29" s="89"/>
      <c r="G29" s="10">
        <v>2.44</v>
      </c>
      <c r="H29" s="11"/>
      <c r="I29" s="12"/>
      <c r="J29" s="17"/>
      <c r="K29" s="14">
        <v>4.16</v>
      </c>
      <c r="L29" s="10">
        <f t="shared" si="6"/>
        <v>2.44</v>
      </c>
      <c r="M29" s="11">
        <f t="shared" si="7"/>
        <v>0</v>
      </c>
      <c r="N29" s="12">
        <f t="shared" si="8"/>
        <v>0</v>
      </c>
      <c r="O29" s="17">
        <f t="shared" si="9"/>
        <v>0</v>
      </c>
      <c r="P29" s="14">
        <f t="shared" si="10"/>
        <v>4.16</v>
      </c>
    </row>
    <row r="30" spans="1:16" x14ac:dyDescent="0.25">
      <c r="A30" s="108"/>
      <c r="B30" s="126"/>
      <c r="C30" s="79"/>
      <c r="D30" s="82"/>
      <c r="E30" s="88" t="s">
        <v>13</v>
      </c>
      <c r="F30" s="89"/>
      <c r="G30" s="25" t="s">
        <v>45</v>
      </c>
      <c r="H30" s="11"/>
      <c r="I30" s="12"/>
      <c r="J30" s="17"/>
      <c r="K30" s="28" t="s">
        <v>45</v>
      </c>
      <c r="L30" s="10">
        <f t="shared" si="6"/>
        <v>0</v>
      </c>
      <c r="M30" s="11">
        <f t="shared" si="7"/>
        <v>0</v>
      </c>
      <c r="N30" s="12">
        <f t="shared" si="8"/>
        <v>0</v>
      </c>
      <c r="O30" s="17">
        <f t="shared" si="9"/>
        <v>0</v>
      </c>
      <c r="P30" s="28">
        <f t="shared" si="10"/>
        <v>0</v>
      </c>
    </row>
    <row r="31" spans="1:16" x14ac:dyDescent="0.25">
      <c r="A31" s="108"/>
      <c r="B31" s="127"/>
      <c r="C31" s="80"/>
      <c r="D31" s="83"/>
      <c r="E31" s="88" t="s">
        <v>17</v>
      </c>
      <c r="F31" s="89"/>
      <c r="G31" s="10">
        <v>0.11</v>
      </c>
      <c r="H31" s="11"/>
      <c r="I31" s="12"/>
      <c r="J31" s="17"/>
      <c r="K31" s="14">
        <v>0.15</v>
      </c>
      <c r="L31" s="10">
        <f t="shared" si="6"/>
        <v>0.11</v>
      </c>
      <c r="M31" s="11">
        <f t="shared" si="7"/>
        <v>0</v>
      </c>
      <c r="N31" s="12">
        <f t="shared" si="8"/>
        <v>0</v>
      </c>
      <c r="O31" s="17">
        <f t="shared" si="9"/>
        <v>0</v>
      </c>
      <c r="P31" s="14">
        <f t="shared" si="10"/>
        <v>0.15</v>
      </c>
    </row>
  </sheetData>
  <mergeCells count="55">
    <mergeCell ref="B2:B3"/>
    <mergeCell ref="C2:C3"/>
    <mergeCell ref="D2:D3"/>
    <mergeCell ref="E2:F2"/>
    <mergeCell ref="E3:F3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E4:F4"/>
    <mergeCell ref="E5:F5"/>
    <mergeCell ref="B12:B15"/>
    <mergeCell ref="C12:C15"/>
    <mergeCell ref="D12:D15"/>
    <mergeCell ref="B16:B19"/>
    <mergeCell ref="C16:C19"/>
    <mergeCell ref="D16:D19"/>
    <mergeCell ref="E23:F23"/>
    <mergeCell ref="B24:B27"/>
    <mergeCell ref="C24:C27"/>
    <mergeCell ref="D24:D27"/>
    <mergeCell ref="E24:F24"/>
    <mergeCell ref="E25:F25"/>
    <mergeCell ref="E26:F26"/>
    <mergeCell ref="E27:F27"/>
    <mergeCell ref="C20:C23"/>
    <mergeCell ref="D20:D23"/>
    <mergeCell ref="E20:F20"/>
    <mergeCell ref="E21:F21"/>
    <mergeCell ref="E22:F22"/>
    <mergeCell ref="B20:B23"/>
    <mergeCell ref="A24:A27"/>
    <mergeCell ref="A28:A31"/>
    <mergeCell ref="E1:F1"/>
    <mergeCell ref="A2:A3"/>
    <mergeCell ref="A4:A7"/>
    <mergeCell ref="A8:A11"/>
    <mergeCell ref="A12:A15"/>
    <mergeCell ref="A16:A19"/>
    <mergeCell ref="A20:A23"/>
    <mergeCell ref="B28:B31"/>
    <mergeCell ref="C28:C31"/>
    <mergeCell ref="D28:D31"/>
    <mergeCell ref="E28:F28"/>
    <mergeCell ref="E29:F29"/>
    <mergeCell ref="E30:F30"/>
    <mergeCell ref="E31:F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X31"/>
  <sheetViews>
    <sheetView workbookViewId="0">
      <selection activeCell="L3" sqref="L3"/>
    </sheetView>
  </sheetViews>
  <sheetFormatPr defaultRowHeight="13.2" x14ac:dyDescent="0.25"/>
  <sheetData>
    <row r="1" spans="1:24" ht="40.799999999999997" x14ac:dyDescent="0.25">
      <c r="A1" s="31" t="s">
        <v>115</v>
      </c>
      <c r="B1" s="64" t="s">
        <v>0</v>
      </c>
      <c r="C1" s="57" t="s">
        <v>1</v>
      </c>
      <c r="D1" s="58" t="s">
        <v>2</v>
      </c>
      <c r="E1" s="123" t="s">
        <v>3</v>
      </c>
      <c r="F1" s="124"/>
      <c r="G1" s="59" t="s">
        <v>4</v>
      </c>
      <c r="H1" s="60" t="s">
        <v>5</v>
      </c>
      <c r="I1" s="61" t="s">
        <v>6</v>
      </c>
      <c r="J1" s="62" t="s">
        <v>7</v>
      </c>
      <c r="K1" s="63" t="s">
        <v>8</v>
      </c>
      <c r="L1" s="59" t="s">
        <v>4</v>
      </c>
      <c r="M1" s="60" t="s">
        <v>5</v>
      </c>
      <c r="N1" s="61" t="s">
        <v>6</v>
      </c>
      <c r="O1" s="62" t="s">
        <v>7</v>
      </c>
      <c r="P1" s="63" t="s">
        <v>8</v>
      </c>
      <c r="T1" s="59" t="s">
        <v>4</v>
      </c>
      <c r="U1" s="60" t="s">
        <v>5</v>
      </c>
      <c r="V1" s="61" t="s">
        <v>6</v>
      </c>
      <c r="W1" s="62" t="s">
        <v>7</v>
      </c>
      <c r="X1" s="63" t="s">
        <v>8</v>
      </c>
    </row>
    <row r="2" spans="1:24" x14ac:dyDescent="0.25">
      <c r="A2" s="107" t="s">
        <v>126</v>
      </c>
      <c r="B2" s="125">
        <v>1</v>
      </c>
      <c r="C2" s="104" t="s">
        <v>9</v>
      </c>
      <c r="D2" s="104" t="s">
        <v>54</v>
      </c>
      <c r="E2" s="84" t="s">
        <v>11</v>
      </c>
      <c r="F2" s="85"/>
      <c r="G2" s="10">
        <v>100</v>
      </c>
      <c r="H2" s="24" t="s">
        <v>45</v>
      </c>
      <c r="I2" s="12"/>
      <c r="J2" s="13">
        <v>98.66</v>
      </c>
      <c r="K2" s="14">
        <v>99.97</v>
      </c>
      <c r="L2" s="10">
        <f>IF(OR(G2="NA",G2=0),0,(1*G2))</f>
        <v>100</v>
      </c>
      <c r="M2" s="24">
        <f t="shared" ref="M2:P2" si="0">IF(OR(H2="NA",H2=0),0,(1*H2))</f>
        <v>0</v>
      </c>
      <c r="N2" s="12">
        <f t="shared" si="0"/>
        <v>0</v>
      </c>
      <c r="O2" s="13">
        <f t="shared" si="0"/>
        <v>98.66</v>
      </c>
      <c r="P2" s="14">
        <f t="shared" si="0"/>
        <v>99.97</v>
      </c>
      <c r="T2" s="10">
        <v>100</v>
      </c>
      <c r="U2" s="24" t="s">
        <v>45</v>
      </c>
      <c r="V2" s="12"/>
      <c r="W2" s="13">
        <v>98.66</v>
      </c>
      <c r="X2" s="14">
        <v>99.97</v>
      </c>
    </row>
    <row r="3" spans="1:24" x14ac:dyDescent="0.25">
      <c r="A3" s="108"/>
      <c r="B3" s="127"/>
      <c r="C3" s="106"/>
      <c r="D3" s="106"/>
      <c r="E3" s="86" t="s">
        <v>16</v>
      </c>
      <c r="F3" s="87"/>
      <c r="G3" s="15"/>
      <c r="H3" s="11"/>
      <c r="I3" s="12"/>
      <c r="J3" s="17"/>
      <c r="K3" s="18"/>
      <c r="L3" s="10">
        <f t="shared" ref="L3:L31" si="1">IF(OR(G3="NA",G3=0),0,(1*G3))</f>
        <v>0</v>
      </c>
      <c r="M3" s="11">
        <f t="shared" ref="M3:M31" si="2">IF(OR(H3="NA",H3=0),0,(1*H3))</f>
        <v>0</v>
      </c>
      <c r="N3" s="12">
        <f t="shared" ref="N3:N31" si="3">IF(OR(I3="NA",I3=0),0,(1*I3))</f>
        <v>0</v>
      </c>
      <c r="O3" s="17">
        <f t="shared" ref="O3:O31" si="4">IF(OR(J3="NA",J3=0),0,(1*J3))</f>
        <v>0</v>
      </c>
      <c r="P3" s="18">
        <f t="shared" ref="P3:P31" si="5">IF(OR(K3="NA",K3=0),0,(1*K3))</f>
        <v>0</v>
      </c>
      <c r="T3" s="15"/>
      <c r="U3" s="11"/>
      <c r="V3" s="12"/>
      <c r="W3" s="17"/>
      <c r="X3" s="18"/>
    </row>
    <row r="4" spans="1:24" x14ac:dyDescent="0.25">
      <c r="A4" s="108" t="s">
        <v>126</v>
      </c>
      <c r="B4" s="125">
        <v>2</v>
      </c>
      <c r="C4" s="93" t="s">
        <v>14</v>
      </c>
      <c r="D4" s="93" t="s">
        <v>15</v>
      </c>
      <c r="E4" s="84" t="s">
        <v>11</v>
      </c>
      <c r="F4" s="85"/>
      <c r="G4" s="15"/>
      <c r="H4" s="16">
        <v>100</v>
      </c>
      <c r="I4" s="12"/>
      <c r="J4" s="13">
        <v>100</v>
      </c>
      <c r="K4" s="18"/>
      <c r="L4" s="10">
        <f t="shared" si="1"/>
        <v>0</v>
      </c>
      <c r="M4" s="16">
        <f t="shared" si="2"/>
        <v>100</v>
      </c>
      <c r="N4" s="12">
        <f t="shared" si="3"/>
        <v>0</v>
      </c>
      <c r="O4" s="13">
        <f t="shared" si="4"/>
        <v>100</v>
      </c>
      <c r="P4" s="18">
        <f t="shared" si="5"/>
        <v>0</v>
      </c>
      <c r="T4" s="15"/>
      <c r="U4" s="16">
        <v>100</v>
      </c>
      <c r="V4" s="12"/>
      <c r="W4" s="13">
        <v>100</v>
      </c>
      <c r="X4" s="18"/>
    </row>
    <row r="5" spans="1:24" x14ac:dyDescent="0.25">
      <c r="A5" s="108"/>
      <c r="B5" s="126"/>
      <c r="C5" s="94"/>
      <c r="D5" s="94"/>
      <c r="E5" s="86" t="s">
        <v>16</v>
      </c>
      <c r="F5" s="87"/>
      <c r="G5" s="10">
        <v>100</v>
      </c>
      <c r="H5" s="11"/>
      <c r="I5" s="12"/>
      <c r="J5" s="17"/>
      <c r="K5" s="14">
        <v>100</v>
      </c>
      <c r="L5" s="10">
        <f t="shared" si="1"/>
        <v>100</v>
      </c>
      <c r="M5" s="11">
        <f t="shared" si="2"/>
        <v>0</v>
      </c>
      <c r="N5" s="12">
        <f t="shared" si="3"/>
        <v>0</v>
      </c>
      <c r="O5" s="17">
        <f t="shared" si="4"/>
        <v>0</v>
      </c>
      <c r="P5" s="14">
        <f t="shared" si="5"/>
        <v>100</v>
      </c>
      <c r="T5" s="10">
        <v>100</v>
      </c>
      <c r="U5" s="11"/>
      <c r="V5" s="12"/>
      <c r="W5" s="17"/>
      <c r="X5" s="14">
        <v>100</v>
      </c>
    </row>
    <row r="6" spans="1:24" x14ac:dyDescent="0.25">
      <c r="A6" s="108"/>
      <c r="B6" s="126"/>
      <c r="C6" s="94"/>
      <c r="D6" s="94"/>
      <c r="E6" s="88" t="s">
        <v>13</v>
      </c>
      <c r="F6" s="89"/>
      <c r="G6" s="25" t="s">
        <v>45</v>
      </c>
      <c r="H6" s="11"/>
      <c r="I6" s="12"/>
      <c r="J6" s="17"/>
      <c r="K6" s="14">
        <v>100</v>
      </c>
      <c r="L6" s="10">
        <f t="shared" si="1"/>
        <v>0</v>
      </c>
      <c r="M6" s="11">
        <f t="shared" si="2"/>
        <v>0</v>
      </c>
      <c r="N6" s="12">
        <f t="shared" si="3"/>
        <v>0</v>
      </c>
      <c r="O6" s="17">
        <f t="shared" si="4"/>
        <v>0</v>
      </c>
      <c r="P6" s="14">
        <f t="shared" si="5"/>
        <v>100</v>
      </c>
      <c r="T6" s="25" t="s">
        <v>45</v>
      </c>
      <c r="U6" s="11"/>
      <c r="V6" s="12"/>
      <c r="W6" s="17"/>
      <c r="X6" s="14">
        <v>100</v>
      </c>
    </row>
    <row r="7" spans="1:24" x14ac:dyDescent="0.25">
      <c r="A7" s="108"/>
      <c r="B7" s="127"/>
      <c r="C7" s="95"/>
      <c r="D7" s="95"/>
      <c r="E7" s="88" t="s">
        <v>17</v>
      </c>
      <c r="F7" s="89"/>
      <c r="G7" s="10">
        <v>100</v>
      </c>
      <c r="H7" s="11"/>
      <c r="I7" s="12"/>
      <c r="J7" s="17"/>
      <c r="K7" s="14">
        <v>100</v>
      </c>
      <c r="L7" s="10">
        <f t="shared" si="1"/>
        <v>100</v>
      </c>
      <c r="M7" s="11">
        <f t="shared" si="2"/>
        <v>0</v>
      </c>
      <c r="N7" s="12">
        <f t="shared" si="3"/>
        <v>0</v>
      </c>
      <c r="O7" s="17">
        <f t="shared" si="4"/>
        <v>0</v>
      </c>
      <c r="P7" s="14">
        <f t="shared" si="5"/>
        <v>100</v>
      </c>
      <c r="T7" s="10">
        <v>100</v>
      </c>
      <c r="U7" s="11"/>
      <c r="V7" s="12"/>
      <c r="W7" s="17"/>
      <c r="X7" s="14">
        <v>100</v>
      </c>
    </row>
    <row r="8" spans="1:24" x14ac:dyDescent="0.25">
      <c r="A8" s="108" t="s">
        <v>126</v>
      </c>
      <c r="B8" s="125">
        <v>3</v>
      </c>
      <c r="C8" s="93" t="s">
        <v>18</v>
      </c>
      <c r="D8" s="93" t="s">
        <v>19</v>
      </c>
      <c r="E8" s="84" t="s">
        <v>11</v>
      </c>
      <c r="F8" s="85"/>
      <c r="G8" s="15"/>
      <c r="H8" s="16">
        <v>100</v>
      </c>
      <c r="I8" s="12"/>
      <c r="J8" s="13">
        <v>100</v>
      </c>
      <c r="K8" s="18"/>
      <c r="L8" s="10">
        <f t="shared" si="1"/>
        <v>0</v>
      </c>
      <c r="M8" s="16">
        <f t="shared" si="2"/>
        <v>100</v>
      </c>
      <c r="N8" s="12">
        <f t="shared" si="3"/>
        <v>0</v>
      </c>
      <c r="O8" s="13">
        <f t="shared" si="4"/>
        <v>100</v>
      </c>
      <c r="P8" s="18">
        <f t="shared" si="5"/>
        <v>0</v>
      </c>
      <c r="T8" s="15"/>
      <c r="U8" s="16">
        <v>100</v>
      </c>
      <c r="V8" s="12"/>
      <c r="W8" s="13">
        <v>100</v>
      </c>
      <c r="X8" s="18"/>
    </row>
    <row r="9" spans="1:24" x14ac:dyDescent="0.25">
      <c r="A9" s="108"/>
      <c r="B9" s="126"/>
      <c r="C9" s="94"/>
      <c r="D9" s="94"/>
      <c r="E9" s="86" t="s">
        <v>16</v>
      </c>
      <c r="F9" s="87"/>
      <c r="G9" s="10">
        <v>100</v>
      </c>
      <c r="H9" s="11"/>
      <c r="I9" s="12"/>
      <c r="J9" s="17"/>
      <c r="K9" s="14">
        <v>100</v>
      </c>
      <c r="L9" s="10">
        <f t="shared" si="1"/>
        <v>100</v>
      </c>
      <c r="M9" s="11">
        <f t="shared" si="2"/>
        <v>0</v>
      </c>
      <c r="N9" s="12">
        <f t="shared" si="3"/>
        <v>0</v>
      </c>
      <c r="O9" s="17">
        <f t="shared" si="4"/>
        <v>0</v>
      </c>
      <c r="P9" s="14">
        <f t="shared" si="5"/>
        <v>100</v>
      </c>
      <c r="T9" s="10">
        <v>100</v>
      </c>
      <c r="U9" s="11"/>
      <c r="V9" s="12"/>
      <c r="W9" s="17"/>
      <c r="X9" s="14">
        <v>100</v>
      </c>
    </row>
    <row r="10" spans="1:24" x14ac:dyDescent="0.25">
      <c r="A10" s="108"/>
      <c r="B10" s="126"/>
      <c r="C10" s="94"/>
      <c r="D10" s="94"/>
      <c r="E10" s="88" t="s">
        <v>13</v>
      </c>
      <c r="F10" s="89"/>
      <c r="G10" s="25" t="s">
        <v>45</v>
      </c>
      <c r="H10" s="11"/>
      <c r="I10" s="12"/>
      <c r="J10" s="17"/>
      <c r="K10" s="14">
        <v>100</v>
      </c>
      <c r="L10" s="10">
        <f t="shared" si="1"/>
        <v>0</v>
      </c>
      <c r="M10" s="11">
        <f t="shared" si="2"/>
        <v>0</v>
      </c>
      <c r="N10" s="12">
        <f t="shared" si="3"/>
        <v>0</v>
      </c>
      <c r="O10" s="17">
        <f t="shared" si="4"/>
        <v>0</v>
      </c>
      <c r="P10" s="14">
        <f t="shared" si="5"/>
        <v>100</v>
      </c>
      <c r="T10" s="25" t="s">
        <v>45</v>
      </c>
      <c r="U10" s="11"/>
      <c r="V10" s="12"/>
      <c r="W10" s="17"/>
      <c r="X10" s="14">
        <v>100</v>
      </c>
    </row>
    <row r="11" spans="1:24" x14ac:dyDescent="0.25">
      <c r="A11" s="108"/>
      <c r="B11" s="127"/>
      <c r="C11" s="95"/>
      <c r="D11" s="95"/>
      <c r="E11" s="88" t="s">
        <v>17</v>
      </c>
      <c r="F11" s="89"/>
      <c r="G11" s="10">
        <v>100</v>
      </c>
      <c r="H11" s="11"/>
      <c r="I11" s="12"/>
      <c r="J11" s="17"/>
      <c r="K11" s="14">
        <v>100</v>
      </c>
      <c r="L11" s="10">
        <f t="shared" si="1"/>
        <v>100</v>
      </c>
      <c r="M11" s="11">
        <f t="shared" si="2"/>
        <v>0</v>
      </c>
      <c r="N11" s="12">
        <f t="shared" si="3"/>
        <v>0</v>
      </c>
      <c r="O11" s="17">
        <f t="shared" si="4"/>
        <v>0</v>
      </c>
      <c r="P11" s="14">
        <f t="shared" si="5"/>
        <v>100</v>
      </c>
      <c r="T11" s="10">
        <v>100</v>
      </c>
      <c r="U11" s="11"/>
      <c r="V11" s="12"/>
      <c r="W11" s="17"/>
      <c r="X11" s="14">
        <v>100</v>
      </c>
    </row>
    <row r="12" spans="1:24" x14ac:dyDescent="0.25">
      <c r="A12" s="108" t="s">
        <v>126</v>
      </c>
      <c r="B12" s="125">
        <v>4</v>
      </c>
      <c r="C12" s="99" t="s">
        <v>20</v>
      </c>
      <c r="D12" s="99" t="s">
        <v>21</v>
      </c>
      <c r="E12" s="8" t="s">
        <v>22</v>
      </c>
      <c r="F12" s="19" t="s">
        <v>23</v>
      </c>
      <c r="G12" s="15"/>
      <c r="H12" s="11"/>
      <c r="I12" s="12"/>
      <c r="J12" s="17"/>
      <c r="K12" s="18"/>
      <c r="L12" s="10">
        <f t="shared" si="1"/>
        <v>0</v>
      </c>
      <c r="M12" s="11">
        <f t="shared" si="2"/>
        <v>0</v>
      </c>
      <c r="N12" s="12">
        <f t="shared" si="3"/>
        <v>0</v>
      </c>
      <c r="O12" s="17">
        <f t="shared" si="4"/>
        <v>0</v>
      </c>
      <c r="P12" s="18">
        <f t="shared" si="5"/>
        <v>0</v>
      </c>
      <c r="T12" s="15"/>
      <c r="U12" s="11"/>
      <c r="V12" s="12"/>
      <c r="W12" s="17"/>
      <c r="X12" s="18"/>
    </row>
    <row r="13" spans="1:24" x14ac:dyDescent="0.25">
      <c r="A13" s="108"/>
      <c r="B13" s="126"/>
      <c r="C13" s="100"/>
      <c r="D13" s="100"/>
      <c r="E13" s="8" t="s">
        <v>12</v>
      </c>
      <c r="F13" s="19" t="s">
        <v>23</v>
      </c>
      <c r="G13" s="10">
        <v>49</v>
      </c>
      <c r="H13" s="24">
        <v>18.329999999999998</v>
      </c>
      <c r="I13" s="12"/>
      <c r="J13" s="17"/>
      <c r="K13" s="14">
        <v>174.73</v>
      </c>
      <c r="L13" s="10">
        <f t="shared" si="1"/>
        <v>49</v>
      </c>
      <c r="M13" s="24">
        <f t="shared" si="2"/>
        <v>18.329999999999998</v>
      </c>
      <c r="N13" s="12">
        <f t="shared" si="3"/>
        <v>0</v>
      </c>
      <c r="O13" s="17">
        <f t="shared" si="4"/>
        <v>0</v>
      </c>
      <c r="P13" s="14">
        <f t="shared" si="5"/>
        <v>174.73</v>
      </c>
      <c r="T13" s="10">
        <v>49</v>
      </c>
      <c r="U13" s="24" t="s">
        <v>58</v>
      </c>
      <c r="V13" s="12"/>
      <c r="W13" s="17"/>
      <c r="X13" s="14">
        <v>174.73</v>
      </c>
    </row>
    <row r="14" spans="1:24" x14ac:dyDescent="0.25">
      <c r="A14" s="108"/>
      <c r="B14" s="126"/>
      <c r="C14" s="100"/>
      <c r="D14" s="100"/>
      <c r="E14" s="8" t="s">
        <v>13</v>
      </c>
      <c r="F14" s="19" t="s">
        <v>23</v>
      </c>
      <c r="G14" s="25" t="s">
        <v>45</v>
      </c>
      <c r="H14" s="24">
        <v>109</v>
      </c>
      <c r="I14" s="12"/>
      <c r="J14" s="17"/>
      <c r="K14" s="14">
        <v>3843.55</v>
      </c>
      <c r="L14" s="10">
        <f t="shared" si="1"/>
        <v>0</v>
      </c>
      <c r="M14" s="24">
        <f t="shared" si="2"/>
        <v>109</v>
      </c>
      <c r="N14" s="12">
        <f t="shared" si="3"/>
        <v>0</v>
      </c>
      <c r="O14" s="17">
        <f t="shared" si="4"/>
        <v>0</v>
      </c>
      <c r="P14" s="14">
        <f t="shared" si="5"/>
        <v>3843.55</v>
      </c>
      <c r="T14" s="25" t="s">
        <v>45</v>
      </c>
      <c r="U14" s="24" t="s">
        <v>59</v>
      </c>
      <c r="V14" s="12"/>
      <c r="W14" s="17"/>
      <c r="X14" s="14">
        <v>3843.55</v>
      </c>
    </row>
    <row r="15" spans="1:24" x14ac:dyDescent="0.25">
      <c r="A15" s="108"/>
      <c r="B15" s="127"/>
      <c r="C15" s="101"/>
      <c r="D15" s="101"/>
      <c r="E15" s="8" t="s">
        <v>17</v>
      </c>
      <c r="F15" s="19" t="s">
        <v>24</v>
      </c>
      <c r="G15" s="10">
        <v>6157.6</v>
      </c>
      <c r="H15" s="24">
        <v>221.6</v>
      </c>
      <c r="I15" s="12"/>
      <c r="J15" s="13">
        <v>10407.49</v>
      </c>
      <c r="K15" s="14">
        <v>17855.2</v>
      </c>
      <c r="L15" s="10">
        <f t="shared" si="1"/>
        <v>6157.6</v>
      </c>
      <c r="M15" s="24">
        <f t="shared" si="2"/>
        <v>221.6</v>
      </c>
      <c r="N15" s="12">
        <f t="shared" si="3"/>
        <v>0</v>
      </c>
      <c r="O15" s="13">
        <f t="shared" si="4"/>
        <v>10407.49</v>
      </c>
      <c r="P15" s="14">
        <f t="shared" si="5"/>
        <v>17855.2</v>
      </c>
      <c r="T15" s="10">
        <v>6157.6</v>
      </c>
      <c r="U15" s="24" t="s">
        <v>60</v>
      </c>
      <c r="V15" s="12"/>
      <c r="W15" s="13">
        <v>10407.49</v>
      </c>
      <c r="X15" s="14">
        <v>17855.2</v>
      </c>
    </row>
    <row r="16" spans="1:24" x14ac:dyDescent="0.25">
      <c r="A16" s="108" t="s">
        <v>126</v>
      </c>
      <c r="B16" s="125">
        <v>5</v>
      </c>
      <c r="C16" s="99" t="s">
        <v>25</v>
      </c>
      <c r="D16" s="99" t="s">
        <v>26</v>
      </c>
      <c r="E16" s="8" t="s">
        <v>22</v>
      </c>
      <c r="F16" s="19" t="s">
        <v>23</v>
      </c>
      <c r="G16" s="15"/>
      <c r="H16" s="11"/>
      <c r="I16" s="12"/>
      <c r="J16" s="17"/>
      <c r="K16" s="18"/>
      <c r="L16" s="10">
        <f t="shared" si="1"/>
        <v>0</v>
      </c>
      <c r="M16" s="11">
        <f t="shared" si="2"/>
        <v>0</v>
      </c>
      <c r="N16" s="12">
        <f t="shared" si="3"/>
        <v>0</v>
      </c>
      <c r="O16" s="17">
        <f t="shared" si="4"/>
        <v>0</v>
      </c>
      <c r="P16" s="18">
        <f t="shared" si="5"/>
        <v>0</v>
      </c>
      <c r="T16" s="15"/>
      <c r="U16" s="11"/>
      <c r="V16" s="12"/>
      <c r="W16" s="17"/>
      <c r="X16" s="18"/>
    </row>
    <row r="17" spans="1:24" x14ac:dyDescent="0.25">
      <c r="A17" s="108"/>
      <c r="B17" s="126"/>
      <c r="C17" s="100"/>
      <c r="D17" s="100"/>
      <c r="E17" s="8" t="s">
        <v>12</v>
      </c>
      <c r="F17" s="19" t="s">
        <v>23</v>
      </c>
      <c r="G17" s="10">
        <v>126.79</v>
      </c>
      <c r="H17" s="24">
        <v>84.66</v>
      </c>
      <c r="I17" s="12"/>
      <c r="J17" s="17"/>
      <c r="K17" s="14">
        <v>212.34</v>
      </c>
      <c r="L17" s="10">
        <f t="shared" si="1"/>
        <v>126.79</v>
      </c>
      <c r="M17" s="24">
        <f t="shared" si="2"/>
        <v>84.66</v>
      </c>
      <c r="N17" s="12">
        <f t="shared" si="3"/>
        <v>0</v>
      </c>
      <c r="O17" s="17">
        <f t="shared" si="4"/>
        <v>0</v>
      </c>
      <c r="P17" s="14">
        <f t="shared" si="5"/>
        <v>212.34</v>
      </c>
      <c r="T17" s="10">
        <v>126.79</v>
      </c>
      <c r="U17" s="24" t="s">
        <v>61</v>
      </c>
      <c r="V17" s="12"/>
      <c r="W17" s="17"/>
      <c r="X17" s="14">
        <v>212.34</v>
      </c>
    </row>
    <row r="18" spans="1:24" x14ac:dyDescent="0.25">
      <c r="A18" s="108"/>
      <c r="B18" s="126"/>
      <c r="C18" s="100"/>
      <c r="D18" s="100"/>
      <c r="E18" s="8" t="s">
        <v>13</v>
      </c>
      <c r="F18" s="19" t="s">
        <v>23</v>
      </c>
      <c r="G18" s="25" t="s">
        <v>45</v>
      </c>
      <c r="H18" s="24">
        <v>736.66</v>
      </c>
      <c r="I18" s="12"/>
      <c r="J18" s="17"/>
      <c r="K18" s="14">
        <v>6338.98</v>
      </c>
      <c r="L18" s="10">
        <f t="shared" si="1"/>
        <v>0</v>
      </c>
      <c r="M18" s="24">
        <f t="shared" si="2"/>
        <v>736.66</v>
      </c>
      <c r="N18" s="12">
        <f t="shared" si="3"/>
        <v>0</v>
      </c>
      <c r="O18" s="17">
        <f t="shared" si="4"/>
        <v>0</v>
      </c>
      <c r="P18" s="14">
        <f t="shared" si="5"/>
        <v>6338.98</v>
      </c>
      <c r="T18" s="25" t="s">
        <v>45</v>
      </c>
      <c r="U18" s="24" t="s">
        <v>62</v>
      </c>
      <c r="V18" s="12"/>
      <c r="W18" s="17"/>
      <c r="X18" s="14">
        <v>6338.98</v>
      </c>
    </row>
    <row r="19" spans="1:24" x14ac:dyDescent="0.25">
      <c r="A19" s="108"/>
      <c r="B19" s="127"/>
      <c r="C19" s="101"/>
      <c r="D19" s="101"/>
      <c r="E19" s="8" t="s">
        <v>17</v>
      </c>
      <c r="F19" s="19" t="s">
        <v>24</v>
      </c>
      <c r="G19" s="10">
        <v>12567.11</v>
      </c>
      <c r="H19" s="24">
        <v>1540</v>
      </c>
      <c r="I19" s="12"/>
      <c r="J19" s="13">
        <v>21713.89</v>
      </c>
      <c r="K19" s="14">
        <v>35275.25</v>
      </c>
      <c r="L19" s="10">
        <f t="shared" si="1"/>
        <v>12567.11</v>
      </c>
      <c r="M19" s="24">
        <f t="shared" si="2"/>
        <v>1540</v>
      </c>
      <c r="N19" s="12">
        <f t="shared" si="3"/>
        <v>0</v>
      </c>
      <c r="O19" s="13">
        <f t="shared" si="4"/>
        <v>21713.89</v>
      </c>
      <c r="P19" s="14">
        <f t="shared" si="5"/>
        <v>35275.25</v>
      </c>
      <c r="T19" s="10">
        <v>12567.11</v>
      </c>
      <c r="U19" s="24" t="s">
        <v>63</v>
      </c>
      <c r="V19" s="12"/>
      <c r="W19" s="13">
        <v>21713.89</v>
      </c>
      <c r="X19" s="14">
        <v>35275.25</v>
      </c>
    </row>
    <row r="20" spans="1:24" x14ac:dyDescent="0.25">
      <c r="A20" s="108" t="s">
        <v>126</v>
      </c>
      <c r="B20" s="125">
        <v>6</v>
      </c>
      <c r="C20" s="93" t="s">
        <v>27</v>
      </c>
      <c r="D20" s="96" t="s">
        <v>28</v>
      </c>
      <c r="E20" s="84" t="s">
        <v>11</v>
      </c>
      <c r="F20" s="85"/>
      <c r="G20" s="15"/>
      <c r="H20" s="24">
        <v>87.66</v>
      </c>
      <c r="I20" s="12"/>
      <c r="J20" s="13">
        <v>45.72</v>
      </c>
      <c r="K20" s="18"/>
      <c r="L20" s="10">
        <f t="shared" si="1"/>
        <v>0</v>
      </c>
      <c r="M20" s="24">
        <f t="shared" si="2"/>
        <v>87.66</v>
      </c>
      <c r="N20" s="12">
        <f t="shared" si="3"/>
        <v>0</v>
      </c>
      <c r="O20" s="13">
        <f t="shared" si="4"/>
        <v>45.72</v>
      </c>
      <c r="P20" s="18">
        <f t="shared" si="5"/>
        <v>0</v>
      </c>
      <c r="T20" s="15"/>
      <c r="U20" s="24" t="s">
        <v>64</v>
      </c>
      <c r="V20" s="12"/>
      <c r="W20" s="13">
        <v>45.72</v>
      </c>
      <c r="X20" s="18"/>
    </row>
    <row r="21" spans="1:24" x14ac:dyDescent="0.25">
      <c r="A21" s="108"/>
      <c r="B21" s="126"/>
      <c r="C21" s="94"/>
      <c r="D21" s="97"/>
      <c r="E21" s="86" t="s">
        <v>16</v>
      </c>
      <c r="F21" s="87"/>
      <c r="G21" s="10">
        <v>241.33</v>
      </c>
      <c r="H21" s="11"/>
      <c r="I21" s="12"/>
      <c r="J21" s="17"/>
      <c r="K21" s="14">
        <v>91.83</v>
      </c>
      <c r="L21" s="10">
        <f t="shared" si="1"/>
        <v>241.33</v>
      </c>
      <c r="M21" s="11">
        <f t="shared" si="2"/>
        <v>0</v>
      </c>
      <c r="N21" s="12">
        <f t="shared" si="3"/>
        <v>0</v>
      </c>
      <c r="O21" s="17">
        <f t="shared" si="4"/>
        <v>0</v>
      </c>
      <c r="P21" s="14">
        <f t="shared" si="5"/>
        <v>91.83</v>
      </c>
      <c r="T21" s="10">
        <v>241.33</v>
      </c>
      <c r="U21" s="11"/>
      <c r="V21" s="12"/>
      <c r="W21" s="17"/>
      <c r="X21" s="14">
        <v>91.83</v>
      </c>
    </row>
    <row r="22" spans="1:24" x14ac:dyDescent="0.25">
      <c r="A22" s="108"/>
      <c r="B22" s="126"/>
      <c r="C22" s="94"/>
      <c r="D22" s="97"/>
      <c r="E22" s="88" t="s">
        <v>13</v>
      </c>
      <c r="F22" s="89"/>
      <c r="G22" s="25" t="s">
        <v>45</v>
      </c>
      <c r="H22" s="11"/>
      <c r="I22" s="12"/>
      <c r="J22" s="17"/>
      <c r="K22" s="14">
        <v>26</v>
      </c>
      <c r="L22" s="10">
        <f t="shared" si="1"/>
        <v>0</v>
      </c>
      <c r="M22" s="11">
        <f t="shared" si="2"/>
        <v>0</v>
      </c>
      <c r="N22" s="12">
        <f t="shared" si="3"/>
        <v>0</v>
      </c>
      <c r="O22" s="17">
        <f t="shared" si="4"/>
        <v>0</v>
      </c>
      <c r="P22" s="14">
        <f t="shared" si="5"/>
        <v>26</v>
      </c>
      <c r="T22" s="25" t="s">
        <v>45</v>
      </c>
      <c r="U22" s="11"/>
      <c r="V22" s="12"/>
      <c r="W22" s="17"/>
      <c r="X22" s="14">
        <v>26</v>
      </c>
    </row>
    <row r="23" spans="1:24" x14ac:dyDescent="0.25">
      <c r="A23" s="108"/>
      <c r="B23" s="127"/>
      <c r="C23" s="95"/>
      <c r="D23" s="98"/>
      <c r="E23" s="88" t="s">
        <v>17</v>
      </c>
      <c r="F23" s="89"/>
      <c r="G23" s="10">
        <v>92.33</v>
      </c>
      <c r="H23" s="11"/>
      <c r="I23" s="12"/>
      <c r="J23" s="17"/>
      <c r="K23" s="14">
        <v>22.33</v>
      </c>
      <c r="L23" s="10">
        <f t="shared" si="1"/>
        <v>92.33</v>
      </c>
      <c r="M23" s="11">
        <f t="shared" si="2"/>
        <v>0</v>
      </c>
      <c r="N23" s="12">
        <f t="shared" si="3"/>
        <v>0</v>
      </c>
      <c r="O23" s="17">
        <f t="shared" si="4"/>
        <v>0</v>
      </c>
      <c r="P23" s="14">
        <f t="shared" si="5"/>
        <v>22.33</v>
      </c>
      <c r="T23" s="10">
        <v>92.33</v>
      </c>
      <c r="U23" s="11"/>
      <c r="V23" s="12"/>
      <c r="W23" s="17"/>
      <c r="X23" s="14">
        <v>22.33</v>
      </c>
    </row>
    <row r="24" spans="1:24" x14ac:dyDescent="0.25">
      <c r="A24" s="108" t="s">
        <v>126</v>
      </c>
      <c r="B24" s="125">
        <v>7</v>
      </c>
      <c r="C24" s="90" t="s">
        <v>29</v>
      </c>
      <c r="D24" s="81" t="s">
        <v>30</v>
      </c>
      <c r="E24" s="84" t="s">
        <v>11</v>
      </c>
      <c r="F24" s="85"/>
      <c r="G24" s="15"/>
      <c r="H24" s="16">
        <v>100</v>
      </c>
      <c r="I24" s="12"/>
      <c r="J24" s="13">
        <v>99.85</v>
      </c>
      <c r="K24" s="18"/>
      <c r="L24" s="10">
        <f t="shared" si="1"/>
        <v>0</v>
      </c>
      <c r="M24" s="16">
        <f t="shared" si="2"/>
        <v>100</v>
      </c>
      <c r="N24" s="12">
        <f t="shared" si="3"/>
        <v>0</v>
      </c>
      <c r="O24" s="13">
        <f t="shared" si="4"/>
        <v>99.85</v>
      </c>
      <c r="P24" s="18">
        <f t="shared" si="5"/>
        <v>0</v>
      </c>
      <c r="T24" s="15"/>
      <c r="U24" s="16">
        <v>100</v>
      </c>
      <c r="V24" s="12"/>
      <c r="W24" s="13">
        <v>99.85</v>
      </c>
      <c r="X24" s="18"/>
    </row>
    <row r="25" spans="1:24" x14ac:dyDescent="0.25">
      <c r="A25" s="108"/>
      <c r="B25" s="126"/>
      <c r="C25" s="91"/>
      <c r="D25" s="82"/>
      <c r="E25" s="86" t="s">
        <v>16</v>
      </c>
      <c r="F25" s="87"/>
      <c r="G25" s="10">
        <v>99.35</v>
      </c>
      <c r="H25" s="11"/>
      <c r="I25" s="12"/>
      <c r="J25" s="17"/>
      <c r="K25" s="14">
        <v>98.62</v>
      </c>
      <c r="L25" s="10">
        <f t="shared" si="1"/>
        <v>99.35</v>
      </c>
      <c r="M25" s="11">
        <f t="shared" si="2"/>
        <v>0</v>
      </c>
      <c r="N25" s="12">
        <f t="shared" si="3"/>
        <v>0</v>
      </c>
      <c r="O25" s="17">
        <f t="shared" si="4"/>
        <v>0</v>
      </c>
      <c r="P25" s="14">
        <f t="shared" si="5"/>
        <v>98.62</v>
      </c>
      <c r="T25" s="10">
        <v>99.35</v>
      </c>
      <c r="U25" s="11"/>
      <c r="V25" s="12"/>
      <c r="W25" s="17"/>
      <c r="X25" s="14">
        <v>98.62</v>
      </c>
    </row>
    <row r="26" spans="1:24" x14ac:dyDescent="0.25">
      <c r="A26" s="108"/>
      <c r="B26" s="126"/>
      <c r="C26" s="91"/>
      <c r="D26" s="82"/>
      <c r="E26" s="88" t="s">
        <v>13</v>
      </c>
      <c r="F26" s="89"/>
      <c r="G26" s="25" t="s">
        <v>45</v>
      </c>
      <c r="H26" s="11"/>
      <c r="I26" s="12"/>
      <c r="J26" s="17"/>
      <c r="K26" s="14">
        <v>96.32</v>
      </c>
      <c r="L26" s="10">
        <f t="shared" si="1"/>
        <v>0</v>
      </c>
      <c r="M26" s="11">
        <f t="shared" si="2"/>
        <v>0</v>
      </c>
      <c r="N26" s="12">
        <f t="shared" si="3"/>
        <v>0</v>
      </c>
      <c r="O26" s="17">
        <f t="shared" si="4"/>
        <v>0</v>
      </c>
      <c r="P26" s="14">
        <f t="shared" si="5"/>
        <v>96.32</v>
      </c>
      <c r="T26" s="25" t="s">
        <v>45</v>
      </c>
      <c r="U26" s="11"/>
      <c r="V26" s="12"/>
      <c r="W26" s="17"/>
      <c r="X26" s="14">
        <v>96.32</v>
      </c>
    </row>
    <row r="27" spans="1:24" x14ac:dyDescent="0.25">
      <c r="A27" s="108"/>
      <c r="B27" s="127"/>
      <c r="C27" s="92"/>
      <c r="D27" s="83"/>
      <c r="E27" s="88" t="s">
        <v>17</v>
      </c>
      <c r="F27" s="89"/>
      <c r="G27" s="10">
        <v>99.75</v>
      </c>
      <c r="H27" s="11"/>
      <c r="I27" s="12"/>
      <c r="J27" s="17"/>
      <c r="K27" s="14">
        <v>99.44</v>
      </c>
      <c r="L27" s="10">
        <f t="shared" si="1"/>
        <v>99.75</v>
      </c>
      <c r="M27" s="11">
        <f t="shared" si="2"/>
        <v>0</v>
      </c>
      <c r="N27" s="12">
        <f t="shared" si="3"/>
        <v>0</v>
      </c>
      <c r="O27" s="17">
        <f t="shared" si="4"/>
        <v>0</v>
      </c>
      <c r="P27" s="14">
        <f t="shared" si="5"/>
        <v>99.44</v>
      </c>
      <c r="T27" s="10">
        <v>99.75</v>
      </c>
      <c r="U27" s="11"/>
      <c r="V27" s="12"/>
      <c r="W27" s="17"/>
      <c r="X27" s="14">
        <v>99.44</v>
      </c>
    </row>
    <row r="28" spans="1:24" x14ac:dyDescent="0.25">
      <c r="A28" s="108" t="s">
        <v>126</v>
      </c>
      <c r="B28" s="125">
        <v>8</v>
      </c>
      <c r="C28" s="78" t="s">
        <v>31</v>
      </c>
      <c r="D28" s="81" t="s">
        <v>32</v>
      </c>
      <c r="E28" s="84" t="s">
        <v>11</v>
      </c>
      <c r="F28" s="85"/>
      <c r="G28" s="15"/>
      <c r="H28" s="16">
        <v>0</v>
      </c>
      <c r="I28" s="12"/>
      <c r="J28" s="13">
        <v>0.45</v>
      </c>
      <c r="K28" s="18"/>
      <c r="L28" s="10">
        <f t="shared" si="1"/>
        <v>0</v>
      </c>
      <c r="M28" s="16">
        <f t="shared" si="2"/>
        <v>0</v>
      </c>
      <c r="N28" s="12">
        <f t="shared" si="3"/>
        <v>0</v>
      </c>
      <c r="O28" s="13">
        <f t="shared" si="4"/>
        <v>0.45</v>
      </c>
      <c r="P28" s="18">
        <f t="shared" si="5"/>
        <v>0</v>
      </c>
      <c r="T28" s="15"/>
      <c r="U28" s="16">
        <v>0</v>
      </c>
      <c r="V28" s="12"/>
      <c r="W28" s="13">
        <v>0.45</v>
      </c>
      <c r="X28" s="18"/>
    </row>
    <row r="29" spans="1:24" x14ac:dyDescent="0.25">
      <c r="A29" s="108"/>
      <c r="B29" s="126"/>
      <c r="C29" s="79"/>
      <c r="D29" s="82"/>
      <c r="E29" s="86" t="s">
        <v>16</v>
      </c>
      <c r="F29" s="87"/>
      <c r="G29" s="10">
        <v>4.37</v>
      </c>
      <c r="H29" s="11"/>
      <c r="I29" s="12"/>
      <c r="J29" s="17"/>
      <c r="K29" s="14">
        <v>4.5999999999999996</v>
      </c>
      <c r="L29" s="10">
        <f t="shared" si="1"/>
        <v>4.37</v>
      </c>
      <c r="M29" s="11">
        <f t="shared" si="2"/>
        <v>0</v>
      </c>
      <c r="N29" s="12">
        <f t="shared" si="3"/>
        <v>0</v>
      </c>
      <c r="O29" s="17">
        <f t="shared" si="4"/>
        <v>0</v>
      </c>
      <c r="P29" s="14">
        <f t="shared" si="5"/>
        <v>4.5999999999999996</v>
      </c>
      <c r="T29" s="10">
        <v>4.37</v>
      </c>
      <c r="U29" s="11"/>
      <c r="V29" s="12"/>
      <c r="W29" s="17"/>
      <c r="X29" s="14">
        <v>4.5999999999999996</v>
      </c>
    </row>
    <row r="30" spans="1:24" x14ac:dyDescent="0.25">
      <c r="A30" s="108"/>
      <c r="B30" s="126"/>
      <c r="C30" s="79"/>
      <c r="D30" s="82"/>
      <c r="E30" s="88" t="s">
        <v>13</v>
      </c>
      <c r="F30" s="89"/>
      <c r="G30" s="25" t="s">
        <v>45</v>
      </c>
      <c r="H30" s="11"/>
      <c r="I30" s="12"/>
      <c r="J30" s="17"/>
      <c r="K30" s="14">
        <v>0.97</v>
      </c>
      <c r="L30" s="10">
        <f t="shared" si="1"/>
        <v>0</v>
      </c>
      <c r="M30" s="11">
        <f t="shared" si="2"/>
        <v>0</v>
      </c>
      <c r="N30" s="12">
        <f t="shared" si="3"/>
        <v>0</v>
      </c>
      <c r="O30" s="17">
        <f t="shared" si="4"/>
        <v>0</v>
      </c>
      <c r="P30" s="14">
        <f t="shared" si="5"/>
        <v>0.97</v>
      </c>
      <c r="T30" s="25" t="s">
        <v>45</v>
      </c>
      <c r="U30" s="11"/>
      <c r="V30" s="12"/>
      <c r="W30" s="17"/>
      <c r="X30" s="14">
        <v>0.97</v>
      </c>
    </row>
    <row r="31" spans="1:24" x14ac:dyDescent="0.25">
      <c r="A31" s="108"/>
      <c r="B31" s="127"/>
      <c r="C31" s="80"/>
      <c r="D31" s="83"/>
      <c r="E31" s="88" t="s">
        <v>17</v>
      </c>
      <c r="F31" s="89"/>
      <c r="G31" s="10">
        <v>0.57999999999999996</v>
      </c>
      <c r="H31" s="11"/>
      <c r="I31" s="12"/>
      <c r="J31" s="17"/>
      <c r="K31" s="14">
        <v>0.12</v>
      </c>
      <c r="L31" s="10">
        <f t="shared" si="1"/>
        <v>0.57999999999999996</v>
      </c>
      <c r="M31" s="11">
        <f t="shared" si="2"/>
        <v>0</v>
      </c>
      <c r="N31" s="12">
        <f t="shared" si="3"/>
        <v>0</v>
      </c>
      <c r="O31" s="17">
        <f t="shared" si="4"/>
        <v>0</v>
      </c>
      <c r="P31" s="14">
        <f t="shared" si="5"/>
        <v>0.12</v>
      </c>
      <c r="T31" s="10">
        <v>0.57999999999999996</v>
      </c>
      <c r="U31" s="11"/>
      <c r="V31" s="12"/>
      <c r="W31" s="17"/>
      <c r="X31" s="14">
        <v>0.12</v>
      </c>
    </row>
  </sheetData>
  <mergeCells count="55">
    <mergeCell ref="B2:B3"/>
    <mergeCell ref="C2:C3"/>
    <mergeCell ref="D2:D3"/>
    <mergeCell ref="E2:F2"/>
    <mergeCell ref="E3:F3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E4:F4"/>
    <mergeCell ref="E5:F5"/>
    <mergeCell ref="B12:B15"/>
    <mergeCell ref="C12:C15"/>
    <mergeCell ref="D12:D15"/>
    <mergeCell ref="B16:B19"/>
    <mergeCell ref="C16:C19"/>
    <mergeCell ref="D16:D19"/>
    <mergeCell ref="B20:B23"/>
    <mergeCell ref="C20:C23"/>
    <mergeCell ref="D20:D23"/>
    <mergeCell ref="E20:F20"/>
    <mergeCell ref="E21:F21"/>
    <mergeCell ref="E22:F22"/>
    <mergeCell ref="E23:F23"/>
    <mergeCell ref="B24:B27"/>
    <mergeCell ref="C24:C27"/>
    <mergeCell ref="D24:D27"/>
    <mergeCell ref="E24:F24"/>
    <mergeCell ref="E25:F25"/>
    <mergeCell ref="E26:F26"/>
    <mergeCell ref="E27:F27"/>
    <mergeCell ref="A24:A27"/>
    <mergeCell ref="A28:A31"/>
    <mergeCell ref="E1:F1"/>
    <mergeCell ref="A2:A3"/>
    <mergeCell ref="A4:A7"/>
    <mergeCell ref="A8:A11"/>
    <mergeCell ref="A12:A15"/>
    <mergeCell ref="A16:A19"/>
    <mergeCell ref="A20:A23"/>
    <mergeCell ref="B28:B31"/>
    <mergeCell ref="C28:C31"/>
    <mergeCell ref="D28:D31"/>
    <mergeCell ref="E28:F28"/>
    <mergeCell ref="E29:F29"/>
    <mergeCell ref="E30:F30"/>
    <mergeCell ref="E31:F3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P31"/>
  <sheetViews>
    <sheetView workbookViewId="0">
      <selection activeCell="L3" sqref="L3"/>
    </sheetView>
  </sheetViews>
  <sheetFormatPr defaultRowHeight="13.2" x14ac:dyDescent="0.25"/>
  <cols>
    <col min="1" max="1" width="13.33203125" customWidth="1"/>
  </cols>
  <sheetData>
    <row r="1" spans="1:16" ht="40.799999999999997" x14ac:dyDescent="0.25">
      <c r="A1" s="31" t="s">
        <v>115</v>
      </c>
      <c r="B1" s="64" t="s">
        <v>0</v>
      </c>
      <c r="C1" s="57" t="s">
        <v>1</v>
      </c>
      <c r="D1" s="58" t="s">
        <v>2</v>
      </c>
      <c r="E1" s="123" t="s">
        <v>3</v>
      </c>
      <c r="F1" s="124"/>
      <c r="G1" s="59" t="s">
        <v>4</v>
      </c>
      <c r="H1" s="60" t="s">
        <v>5</v>
      </c>
      <c r="I1" s="61" t="s">
        <v>6</v>
      </c>
      <c r="J1" s="62" t="s">
        <v>7</v>
      </c>
      <c r="K1" s="63" t="s">
        <v>8</v>
      </c>
      <c r="L1" s="59" t="s">
        <v>4</v>
      </c>
      <c r="M1" s="60" t="s">
        <v>5</v>
      </c>
      <c r="N1" s="61" t="s">
        <v>6</v>
      </c>
      <c r="O1" s="62" t="s">
        <v>7</v>
      </c>
      <c r="P1" s="63" t="s">
        <v>8</v>
      </c>
    </row>
    <row r="2" spans="1:16" x14ac:dyDescent="0.25">
      <c r="A2" s="107" t="s">
        <v>127</v>
      </c>
      <c r="B2" s="125">
        <v>1</v>
      </c>
      <c r="C2" s="104" t="s">
        <v>9</v>
      </c>
      <c r="D2" s="104" t="s">
        <v>54</v>
      </c>
      <c r="E2" s="84" t="s">
        <v>11</v>
      </c>
      <c r="F2" s="85"/>
      <c r="G2" s="10">
        <v>100</v>
      </c>
      <c r="H2" s="16">
        <v>100</v>
      </c>
      <c r="I2" s="12"/>
      <c r="J2" s="13">
        <v>98.68</v>
      </c>
      <c r="K2" s="14">
        <v>99.83</v>
      </c>
      <c r="L2" s="10">
        <f>IF(OR(G2="NA",G2=0),0,(1*G2))</f>
        <v>100</v>
      </c>
      <c r="M2" s="16">
        <f t="shared" ref="M2:P2" si="0">IF(OR(H2="NA",H2=0),0,(1*H2))</f>
        <v>100</v>
      </c>
      <c r="N2" s="12">
        <f t="shared" si="0"/>
        <v>0</v>
      </c>
      <c r="O2" s="13">
        <f t="shared" si="0"/>
        <v>98.68</v>
      </c>
      <c r="P2" s="14">
        <f t="shared" si="0"/>
        <v>99.83</v>
      </c>
    </row>
    <row r="3" spans="1:16" x14ac:dyDescent="0.25">
      <c r="A3" s="108"/>
      <c r="B3" s="127"/>
      <c r="C3" s="106"/>
      <c r="D3" s="106"/>
      <c r="E3" s="86" t="s">
        <v>16</v>
      </c>
      <c r="F3" s="87"/>
      <c r="G3" s="15"/>
      <c r="H3" s="11"/>
      <c r="I3" s="12"/>
      <c r="J3" s="17"/>
      <c r="K3" s="18"/>
      <c r="L3" s="10">
        <f t="shared" ref="L3:L31" si="1">IF(OR(G3="NA",G3=0),0,(1*G3))</f>
        <v>0</v>
      </c>
      <c r="M3" s="11">
        <f t="shared" ref="M3:M31" si="2">IF(OR(H3="NA",H3=0),0,(1*H3))</f>
        <v>0</v>
      </c>
      <c r="N3" s="12">
        <f t="shared" ref="N3:N31" si="3">IF(OR(I3="NA",I3=0),0,(1*I3))</f>
        <v>0</v>
      </c>
      <c r="O3" s="17">
        <f t="shared" ref="O3:O31" si="4">IF(OR(J3="NA",J3=0),0,(1*J3))</f>
        <v>0</v>
      </c>
      <c r="P3" s="18">
        <f t="shared" ref="P3:P31" si="5">IF(OR(K3="NA",K3=0),0,(1*K3))</f>
        <v>0</v>
      </c>
    </row>
    <row r="4" spans="1:16" ht="13.2" customHeight="1" x14ac:dyDescent="0.25">
      <c r="A4" s="108" t="s">
        <v>127</v>
      </c>
      <c r="B4" s="125">
        <v>2</v>
      </c>
      <c r="C4" s="93" t="s">
        <v>65</v>
      </c>
      <c r="D4" s="93" t="s">
        <v>15</v>
      </c>
      <c r="E4" s="84" t="s">
        <v>11</v>
      </c>
      <c r="F4" s="85"/>
      <c r="G4" s="15"/>
      <c r="H4" s="11"/>
      <c r="I4" s="12"/>
      <c r="J4" s="13">
        <v>100</v>
      </c>
      <c r="K4" s="18"/>
      <c r="L4" s="10">
        <f t="shared" si="1"/>
        <v>0</v>
      </c>
      <c r="M4" s="11">
        <f t="shared" si="2"/>
        <v>0</v>
      </c>
      <c r="N4" s="12">
        <f t="shared" si="3"/>
        <v>0</v>
      </c>
      <c r="O4" s="13">
        <f t="shared" si="4"/>
        <v>100</v>
      </c>
      <c r="P4" s="18">
        <f t="shared" si="5"/>
        <v>0</v>
      </c>
    </row>
    <row r="5" spans="1:16" x14ac:dyDescent="0.25">
      <c r="A5" s="108"/>
      <c r="B5" s="126"/>
      <c r="C5" s="94"/>
      <c r="D5" s="94"/>
      <c r="E5" s="86" t="s">
        <v>16</v>
      </c>
      <c r="F5" s="87"/>
      <c r="G5" s="10">
        <v>100</v>
      </c>
      <c r="H5" s="16">
        <v>93.33</v>
      </c>
      <c r="I5" s="12"/>
      <c r="J5" s="17"/>
      <c r="K5" s="14">
        <v>100</v>
      </c>
      <c r="L5" s="10">
        <f t="shared" si="1"/>
        <v>100</v>
      </c>
      <c r="M5" s="16">
        <f t="shared" si="2"/>
        <v>93.33</v>
      </c>
      <c r="N5" s="12">
        <f t="shared" si="3"/>
        <v>0</v>
      </c>
      <c r="O5" s="17">
        <f t="shared" si="4"/>
        <v>0</v>
      </c>
      <c r="P5" s="14">
        <f t="shared" si="5"/>
        <v>100</v>
      </c>
    </row>
    <row r="6" spans="1:16" x14ac:dyDescent="0.25">
      <c r="A6" s="108"/>
      <c r="B6" s="126"/>
      <c r="C6" s="94"/>
      <c r="D6" s="128"/>
      <c r="E6" s="88" t="s">
        <v>13</v>
      </c>
      <c r="F6" s="89"/>
      <c r="G6" s="25" t="s">
        <v>45</v>
      </c>
      <c r="H6" s="16">
        <v>100</v>
      </c>
      <c r="I6" s="12"/>
      <c r="J6" s="17"/>
      <c r="K6" s="14">
        <v>100</v>
      </c>
      <c r="L6" s="10">
        <f t="shared" si="1"/>
        <v>0</v>
      </c>
      <c r="M6" s="16">
        <f t="shared" si="2"/>
        <v>100</v>
      </c>
      <c r="N6" s="12">
        <f t="shared" si="3"/>
        <v>0</v>
      </c>
      <c r="O6" s="17">
        <f t="shared" si="4"/>
        <v>0</v>
      </c>
      <c r="P6" s="14">
        <f t="shared" si="5"/>
        <v>100</v>
      </c>
    </row>
    <row r="7" spans="1:16" x14ac:dyDescent="0.25">
      <c r="A7" s="108"/>
      <c r="B7" s="127"/>
      <c r="C7" s="95"/>
      <c r="D7" s="129"/>
      <c r="E7" s="88" t="s">
        <v>17</v>
      </c>
      <c r="F7" s="89"/>
      <c r="G7" s="10">
        <v>100</v>
      </c>
      <c r="H7" s="11"/>
      <c r="I7" s="12"/>
      <c r="J7" s="17"/>
      <c r="K7" s="14">
        <v>100</v>
      </c>
      <c r="L7" s="10">
        <f t="shared" si="1"/>
        <v>100</v>
      </c>
      <c r="M7" s="11">
        <f t="shared" si="2"/>
        <v>0</v>
      </c>
      <c r="N7" s="12">
        <f t="shared" si="3"/>
        <v>0</v>
      </c>
      <c r="O7" s="17">
        <f t="shared" si="4"/>
        <v>0</v>
      </c>
      <c r="P7" s="14">
        <f t="shared" si="5"/>
        <v>100</v>
      </c>
    </row>
    <row r="8" spans="1:16" x14ac:dyDescent="0.25">
      <c r="A8" s="108" t="s">
        <v>127</v>
      </c>
      <c r="B8" s="125">
        <v>3</v>
      </c>
      <c r="C8" s="93" t="s">
        <v>18</v>
      </c>
      <c r="D8" s="93" t="s">
        <v>19</v>
      </c>
      <c r="E8" s="84" t="s">
        <v>11</v>
      </c>
      <c r="F8" s="85"/>
      <c r="G8" s="15"/>
      <c r="H8" s="11"/>
      <c r="I8" s="12"/>
      <c r="J8" s="13">
        <v>100</v>
      </c>
      <c r="K8" s="18"/>
      <c r="L8" s="10">
        <f t="shared" si="1"/>
        <v>0</v>
      </c>
      <c r="M8" s="11">
        <f t="shared" si="2"/>
        <v>0</v>
      </c>
      <c r="N8" s="12">
        <f t="shared" si="3"/>
        <v>0</v>
      </c>
      <c r="O8" s="13">
        <f t="shared" si="4"/>
        <v>100</v>
      </c>
      <c r="P8" s="18">
        <f t="shared" si="5"/>
        <v>0</v>
      </c>
    </row>
    <row r="9" spans="1:16" x14ac:dyDescent="0.25">
      <c r="A9" s="108"/>
      <c r="B9" s="126"/>
      <c r="C9" s="94"/>
      <c r="D9" s="94"/>
      <c r="E9" s="86" t="s">
        <v>16</v>
      </c>
      <c r="F9" s="87"/>
      <c r="G9" s="10">
        <v>100</v>
      </c>
      <c r="H9" s="16">
        <v>90</v>
      </c>
      <c r="I9" s="12"/>
      <c r="J9" s="17"/>
      <c r="K9" s="14">
        <v>100</v>
      </c>
      <c r="L9" s="10">
        <f t="shared" si="1"/>
        <v>100</v>
      </c>
      <c r="M9" s="16">
        <f t="shared" si="2"/>
        <v>90</v>
      </c>
      <c r="N9" s="12">
        <f t="shared" si="3"/>
        <v>0</v>
      </c>
      <c r="O9" s="17">
        <f t="shared" si="4"/>
        <v>0</v>
      </c>
      <c r="P9" s="14">
        <f t="shared" si="5"/>
        <v>100</v>
      </c>
    </row>
    <row r="10" spans="1:16" x14ac:dyDescent="0.25">
      <c r="A10" s="108"/>
      <c r="B10" s="126"/>
      <c r="C10" s="94"/>
      <c r="D10" s="94"/>
      <c r="E10" s="88" t="s">
        <v>13</v>
      </c>
      <c r="F10" s="89"/>
      <c r="G10" s="25" t="s">
        <v>45</v>
      </c>
      <c r="H10" s="16">
        <v>100</v>
      </c>
      <c r="I10" s="12"/>
      <c r="J10" s="17"/>
      <c r="K10" s="14">
        <v>100</v>
      </c>
      <c r="L10" s="10">
        <f t="shared" si="1"/>
        <v>0</v>
      </c>
      <c r="M10" s="16">
        <f t="shared" si="2"/>
        <v>100</v>
      </c>
      <c r="N10" s="12">
        <f t="shared" si="3"/>
        <v>0</v>
      </c>
      <c r="O10" s="17">
        <f t="shared" si="4"/>
        <v>0</v>
      </c>
      <c r="P10" s="14">
        <f t="shared" si="5"/>
        <v>100</v>
      </c>
    </row>
    <row r="11" spans="1:16" x14ac:dyDescent="0.25">
      <c r="A11" s="108"/>
      <c r="B11" s="127"/>
      <c r="C11" s="95"/>
      <c r="D11" s="95"/>
      <c r="E11" s="88" t="s">
        <v>17</v>
      </c>
      <c r="F11" s="89"/>
      <c r="G11" s="10">
        <v>100</v>
      </c>
      <c r="H11" s="11"/>
      <c r="I11" s="12"/>
      <c r="J11" s="17"/>
      <c r="K11" s="14">
        <v>100</v>
      </c>
      <c r="L11" s="10">
        <f t="shared" si="1"/>
        <v>100</v>
      </c>
      <c r="M11" s="11">
        <f t="shared" si="2"/>
        <v>0</v>
      </c>
      <c r="N11" s="12">
        <f t="shared" si="3"/>
        <v>0</v>
      </c>
      <c r="O11" s="17">
        <f t="shared" si="4"/>
        <v>0</v>
      </c>
      <c r="P11" s="14">
        <f t="shared" si="5"/>
        <v>100</v>
      </c>
    </row>
    <row r="12" spans="1:16" x14ac:dyDescent="0.25">
      <c r="A12" s="108" t="s">
        <v>127</v>
      </c>
      <c r="B12" s="125">
        <v>4</v>
      </c>
      <c r="C12" s="96" t="s">
        <v>20</v>
      </c>
      <c r="D12" s="99" t="s">
        <v>21</v>
      </c>
      <c r="E12" s="8" t="s">
        <v>22</v>
      </c>
      <c r="F12" s="19" t="s">
        <v>23</v>
      </c>
      <c r="G12" s="15"/>
      <c r="H12" s="11"/>
      <c r="I12" s="12"/>
      <c r="J12" s="17"/>
      <c r="K12" s="18"/>
      <c r="L12" s="10">
        <f t="shared" si="1"/>
        <v>0</v>
      </c>
      <c r="M12" s="11">
        <f t="shared" si="2"/>
        <v>0</v>
      </c>
      <c r="N12" s="12">
        <f t="shared" si="3"/>
        <v>0</v>
      </c>
      <c r="O12" s="17">
        <f t="shared" si="4"/>
        <v>0</v>
      </c>
      <c r="P12" s="18">
        <f t="shared" si="5"/>
        <v>0</v>
      </c>
    </row>
    <row r="13" spans="1:16" x14ac:dyDescent="0.25">
      <c r="A13" s="108"/>
      <c r="B13" s="126"/>
      <c r="C13" s="97"/>
      <c r="D13" s="100"/>
      <c r="E13" s="8" t="s">
        <v>12</v>
      </c>
      <c r="F13" s="19" t="s">
        <v>23</v>
      </c>
      <c r="G13" s="10">
        <v>78.03</v>
      </c>
      <c r="H13" s="16">
        <v>93.58</v>
      </c>
      <c r="I13" s="12"/>
      <c r="J13" s="17"/>
      <c r="K13" s="14">
        <v>210.26</v>
      </c>
      <c r="L13" s="10">
        <f t="shared" si="1"/>
        <v>78.03</v>
      </c>
      <c r="M13" s="16">
        <f t="shared" si="2"/>
        <v>93.58</v>
      </c>
      <c r="N13" s="12">
        <f t="shared" si="3"/>
        <v>0</v>
      </c>
      <c r="O13" s="17">
        <f t="shared" si="4"/>
        <v>0</v>
      </c>
      <c r="P13" s="14">
        <f t="shared" si="5"/>
        <v>210.26</v>
      </c>
    </row>
    <row r="14" spans="1:16" x14ac:dyDescent="0.25">
      <c r="A14" s="108"/>
      <c r="B14" s="126"/>
      <c r="C14" s="97"/>
      <c r="D14" s="100"/>
      <c r="E14" s="8" t="s">
        <v>13</v>
      </c>
      <c r="F14" s="19" t="s">
        <v>23</v>
      </c>
      <c r="G14" s="25" t="s">
        <v>45</v>
      </c>
      <c r="H14" s="16">
        <v>2697.43</v>
      </c>
      <c r="I14" s="12"/>
      <c r="J14" s="17"/>
      <c r="K14" s="14">
        <v>5992.41</v>
      </c>
      <c r="L14" s="10">
        <f t="shared" si="1"/>
        <v>0</v>
      </c>
      <c r="M14" s="16">
        <f t="shared" si="2"/>
        <v>2697.43</v>
      </c>
      <c r="N14" s="12">
        <f t="shared" si="3"/>
        <v>0</v>
      </c>
      <c r="O14" s="17">
        <f t="shared" si="4"/>
        <v>0</v>
      </c>
      <c r="P14" s="14">
        <f t="shared" si="5"/>
        <v>5992.41</v>
      </c>
    </row>
    <row r="15" spans="1:16" x14ac:dyDescent="0.25">
      <c r="A15" s="108"/>
      <c r="B15" s="127"/>
      <c r="C15" s="98"/>
      <c r="D15" s="101"/>
      <c r="E15" s="8" t="s">
        <v>17</v>
      </c>
      <c r="F15" s="19" t="s">
        <v>24</v>
      </c>
      <c r="G15" s="10">
        <v>2053.1799999999998</v>
      </c>
      <c r="H15" s="11"/>
      <c r="I15" s="12"/>
      <c r="J15" s="13">
        <v>6810.64</v>
      </c>
      <c r="K15" s="14">
        <v>34333.32</v>
      </c>
      <c r="L15" s="10">
        <f t="shared" si="1"/>
        <v>2053.1799999999998</v>
      </c>
      <c r="M15" s="11">
        <f t="shared" si="2"/>
        <v>0</v>
      </c>
      <c r="N15" s="12">
        <f t="shared" si="3"/>
        <v>0</v>
      </c>
      <c r="O15" s="13">
        <f t="shared" si="4"/>
        <v>6810.64</v>
      </c>
      <c r="P15" s="14">
        <f t="shared" si="5"/>
        <v>34333.32</v>
      </c>
    </row>
    <row r="16" spans="1:16" x14ac:dyDescent="0.25">
      <c r="A16" s="108" t="s">
        <v>127</v>
      </c>
      <c r="B16" s="125">
        <v>5</v>
      </c>
      <c r="C16" s="90" t="s">
        <v>25</v>
      </c>
      <c r="D16" s="93" t="s">
        <v>26</v>
      </c>
      <c r="E16" s="8" t="s">
        <v>22</v>
      </c>
      <c r="F16" s="19" t="s">
        <v>23</v>
      </c>
      <c r="G16" s="15"/>
      <c r="H16" s="11"/>
      <c r="I16" s="12"/>
      <c r="J16" s="17"/>
      <c r="K16" s="18"/>
      <c r="L16" s="10">
        <f t="shared" si="1"/>
        <v>0</v>
      </c>
      <c r="M16" s="11">
        <f t="shared" si="2"/>
        <v>0</v>
      </c>
      <c r="N16" s="12">
        <f t="shared" si="3"/>
        <v>0</v>
      </c>
      <c r="O16" s="17">
        <f t="shared" si="4"/>
        <v>0</v>
      </c>
      <c r="P16" s="18">
        <f t="shared" si="5"/>
        <v>0</v>
      </c>
    </row>
    <row r="17" spans="1:16" x14ac:dyDescent="0.25">
      <c r="A17" s="108"/>
      <c r="B17" s="126"/>
      <c r="C17" s="91"/>
      <c r="D17" s="94"/>
      <c r="E17" s="8" t="s">
        <v>12</v>
      </c>
      <c r="F17" s="19" t="s">
        <v>23</v>
      </c>
      <c r="G17" s="10">
        <v>187.9</v>
      </c>
      <c r="H17" s="16">
        <v>141.91999999999999</v>
      </c>
      <c r="I17" s="12"/>
      <c r="J17" s="17"/>
      <c r="K17" s="14">
        <v>253.55</v>
      </c>
      <c r="L17" s="10">
        <f t="shared" si="1"/>
        <v>187.9</v>
      </c>
      <c r="M17" s="16">
        <f t="shared" si="2"/>
        <v>141.91999999999999</v>
      </c>
      <c r="N17" s="12">
        <f t="shared" si="3"/>
        <v>0</v>
      </c>
      <c r="O17" s="17">
        <f t="shared" si="4"/>
        <v>0</v>
      </c>
      <c r="P17" s="14">
        <f t="shared" si="5"/>
        <v>253.55</v>
      </c>
    </row>
    <row r="18" spans="1:16" x14ac:dyDescent="0.25">
      <c r="A18" s="108"/>
      <c r="B18" s="126"/>
      <c r="C18" s="91"/>
      <c r="D18" s="94"/>
      <c r="E18" s="8" t="s">
        <v>13</v>
      </c>
      <c r="F18" s="19" t="s">
        <v>23</v>
      </c>
      <c r="G18" s="25" t="s">
        <v>45</v>
      </c>
      <c r="H18" s="16">
        <v>4850.9399999999996</v>
      </c>
      <c r="I18" s="12"/>
      <c r="J18" s="17"/>
      <c r="K18" s="14">
        <v>10006.43</v>
      </c>
      <c r="L18" s="10">
        <f t="shared" si="1"/>
        <v>0</v>
      </c>
      <c r="M18" s="16">
        <f t="shared" si="2"/>
        <v>4850.9399999999996</v>
      </c>
      <c r="N18" s="12">
        <f t="shared" si="3"/>
        <v>0</v>
      </c>
      <c r="O18" s="17">
        <f t="shared" si="4"/>
        <v>0</v>
      </c>
      <c r="P18" s="14">
        <f t="shared" si="5"/>
        <v>10006.43</v>
      </c>
    </row>
    <row r="19" spans="1:16" x14ac:dyDescent="0.25">
      <c r="A19" s="108"/>
      <c r="B19" s="127"/>
      <c r="C19" s="92"/>
      <c r="D19" s="95"/>
      <c r="E19" s="8" t="s">
        <v>17</v>
      </c>
      <c r="F19" s="19" t="s">
        <v>24</v>
      </c>
      <c r="G19" s="10">
        <v>19365.509999999998</v>
      </c>
      <c r="H19" s="11"/>
      <c r="I19" s="12"/>
      <c r="J19" s="13">
        <v>24306.01</v>
      </c>
      <c r="K19" s="14">
        <v>40501.11</v>
      </c>
      <c r="L19" s="10">
        <f t="shared" si="1"/>
        <v>19365.509999999998</v>
      </c>
      <c r="M19" s="11">
        <f t="shared" si="2"/>
        <v>0</v>
      </c>
      <c r="N19" s="12">
        <f t="shared" si="3"/>
        <v>0</v>
      </c>
      <c r="O19" s="13">
        <f t="shared" si="4"/>
        <v>24306.01</v>
      </c>
      <c r="P19" s="14">
        <f t="shared" si="5"/>
        <v>40501.11</v>
      </c>
    </row>
    <row r="20" spans="1:16" x14ac:dyDescent="0.25">
      <c r="A20" s="108" t="s">
        <v>127</v>
      </c>
      <c r="B20" s="125">
        <v>6</v>
      </c>
      <c r="C20" s="93" t="s">
        <v>27</v>
      </c>
      <c r="D20" s="96" t="s">
        <v>28</v>
      </c>
      <c r="E20" s="84" t="s">
        <v>11</v>
      </c>
      <c r="F20" s="85"/>
      <c r="G20" s="15"/>
      <c r="H20" s="16">
        <v>203.1</v>
      </c>
      <c r="I20" s="12"/>
      <c r="J20" s="13">
        <v>49.16</v>
      </c>
      <c r="K20" s="18"/>
      <c r="L20" s="10">
        <f t="shared" si="1"/>
        <v>0</v>
      </c>
      <c r="M20" s="16">
        <f t="shared" si="2"/>
        <v>203.1</v>
      </c>
      <c r="N20" s="12">
        <f t="shared" si="3"/>
        <v>0</v>
      </c>
      <c r="O20" s="13">
        <f t="shared" si="4"/>
        <v>49.16</v>
      </c>
      <c r="P20" s="18">
        <f t="shared" si="5"/>
        <v>0</v>
      </c>
    </row>
    <row r="21" spans="1:16" x14ac:dyDescent="0.25">
      <c r="A21" s="108"/>
      <c r="B21" s="126"/>
      <c r="C21" s="94"/>
      <c r="D21" s="97"/>
      <c r="E21" s="86" t="s">
        <v>16</v>
      </c>
      <c r="F21" s="87"/>
      <c r="G21" s="10">
        <v>171.8</v>
      </c>
      <c r="H21" s="11"/>
      <c r="I21" s="12"/>
      <c r="J21" s="17"/>
      <c r="K21" s="14">
        <v>56.17</v>
      </c>
      <c r="L21" s="10">
        <f t="shared" si="1"/>
        <v>171.8</v>
      </c>
      <c r="M21" s="11">
        <f t="shared" si="2"/>
        <v>0</v>
      </c>
      <c r="N21" s="12">
        <f t="shared" si="3"/>
        <v>0</v>
      </c>
      <c r="O21" s="17">
        <f t="shared" si="4"/>
        <v>0</v>
      </c>
      <c r="P21" s="14">
        <f t="shared" si="5"/>
        <v>56.17</v>
      </c>
    </row>
    <row r="22" spans="1:16" x14ac:dyDescent="0.25">
      <c r="A22" s="108"/>
      <c r="B22" s="126"/>
      <c r="C22" s="94"/>
      <c r="D22" s="97"/>
      <c r="E22" s="88" t="s">
        <v>13</v>
      </c>
      <c r="F22" s="89"/>
      <c r="G22" s="25" t="s">
        <v>45</v>
      </c>
      <c r="H22" s="11"/>
      <c r="I22" s="12"/>
      <c r="J22" s="17"/>
      <c r="K22" s="14">
        <v>24.83</v>
      </c>
      <c r="L22" s="10">
        <f t="shared" si="1"/>
        <v>0</v>
      </c>
      <c r="M22" s="11">
        <f t="shared" si="2"/>
        <v>0</v>
      </c>
      <c r="N22" s="12">
        <f t="shared" si="3"/>
        <v>0</v>
      </c>
      <c r="O22" s="17">
        <f t="shared" si="4"/>
        <v>0</v>
      </c>
      <c r="P22" s="14">
        <f t="shared" si="5"/>
        <v>24.83</v>
      </c>
    </row>
    <row r="23" spans="1:16" x14ac:dyDescent="0.25">
      <c r="A23" s="108"/>
      <c r="B23" s="127"/>
      <c r="C23" s="95"/>
      <c r="D23" s="98"/>
      <c r="E23" s="88" t="s">
        <v>17</v>
      </c>
      <c r="F23" s="89"/>
      <c r="G23" s="10">
        <v>35.53</v>
      </c>
      <c r="H23" s="11"/>
      <c r="I23" s="12"/>
      <c r="J23" s="17"/>
      <c r="K23" s="14">
        <v>21.67</v>
      </c>
      <c r="L23" s="10">
        <f t="shared" si="1"/>
        <v>35.53</v>
      </c>
      <c r="M23" s="11">
        <f t="shared" si="2"/>
        <v>0</v>
      </c>
      <c r="N23" s="12">
        <f t="shared" si="3"/>
        <v>0</v>
      </c>
      <c r="O23" s="17">
        <f t="shared" si="4"/>
        <v>0</v>
      </c>
      <c r="P23" s="14">
        <f t="shared" si="5"/>
        <v>21.67</v>
      </c>
    </row>
    <row r="24" spans="1:16" x14ac:dyDescent="0.25">
      <c r="A24" s="108" t="s">
        <v>127</v>
      </c>
      <c r="B24" s="125">
        <v>7</v>
      </c>
      <c r="C24" s="90" t="s">
        <v>29</v>
      </c>
      <c r="D24" s="81" t="s">
        <v>30</v>
      </c>
      <c r="E24" s="84" t="s">
        <v>11</v>
      </c>
      <c r="F24" s="85"/>
      <c r="G24" s="15"/>
      <c r="H24" s="16">
        <v>95.66</v>
      </c>
      <c r="I24" s="12"/>
      <c r="J24" s="13">
        <v>99.81</v>
      </c>
      <c r="K24" s="18"/>
      <c r="L24" s="10">
        <f t="shared" si="1"/>
        <v>0</v>
      </c>
      <c r="M24" s="16">
        <f t="shared" si="2"/>
        <v>95.66</v>
      </c>
      <c r="N24" s="12">
        <f t="shared" si="3"/>
        <v>0</v>
      </c>
      <c r="O24" s="13">
        <f t="shared" si="4"/>
        <v>99.81</v>
      </c>
      <c r="P24" s="18">
        <f t="shared" si="5"/>
        <v>0</v>
      </c>
    </row>
    <row r="25" spans="1:16" x14ac:dyDescent="0.25">
      <c r="A25" s="108"/>
      <c r="B25" s="126"/>
      <c r="C25" s="91"/>
      <c r="D25" s="82"/>
      <c r="E25" s="86" t="s">
        <v>16</v>
      </c>
      <c r="F25" s="87"/>
      <c r="G25" s="10">
        <v>99.78</v>
      </c>
      <c r="H25" s="11"/>
      <c r="I25" s="12"/>
      <c r="J25" s="17"/>
      <c r="K25" s="14">
        <v>95.05</v>
      </c>
      <c r="L25" s="10">
        <f t="shared" si="1"/>
        <v>99.78</v>
      </c>
      <c r="M25" s="11">
        <f t="shared" si="2"/>
        <v>0</v>
      </c>
      <c r="N25" s="12">
        <f t="shared" si="3"/>
        <v>0</v>
      </c>
      <c r="O25" s="17">
        <f t="shared" si="4"/>
        <v>0</v>
      </c>
      <c r="P25" s="14">
        <f t="shared" si="5"/>
        <v>95.05</v>
      </c>
    </row>
    <row r="26" spans="1:16" x14ac:dyDescent="0.25">
      <c r="A26" s="108"/>
      <c r="B26" s="126"/>
      <c r="C26" s="91"/>
      <c r="D26" s="82"/>
      <c r="E26" s="88" t="s">
        <v>13</v>
      </c>
      <c r="F26" s="89"/>
      <c r="G26" s="25" t="s">
        <v>45</v>
      </c>
      <c r="H26" s="11"/>
      <c r="I26" s="12"/>
      <c r="J26" s="17"/>
      <c r="K26" s="14">
        <v>95.23</v>
      </c>
      <c r="L26" s="10">
        <f t="shared" si="1"/>
        <v>0</v>
      </c>
      <c r="M26" s="11">
        <f t="shared" si="2"/>
        <v>0</v>
      </c>
      <c r="N26" s="12">
        <f t="shared" si="3"/>
        <v>0</v>
      </c>
      <c r="O26" s="17">
        <f t="shared" si="4"/>
        <v>0</v>
      </c>
      <c r="P26" s="14">
        <f t="shared" si="5"/>
        <v>95.23</v>
      </c>
    </row>
    <row r="27" spans="1:16" x14ac:dyDescent="0.25">
      <c r="A27" s="108"/>
      <c r="B27" s="127"/>
      <c r="C27" s="92"/>
      <c r="D27" s="83"/>
      <c r="E27" s="88" t="s">
        <v>17</v>
      </c>
      <c r="F27" s="89"/>
      <c r="G27" s="10">
        <v>99.59</v>
      </c>
      <c r="H27" s="11"/>
      <c r="I27" s="12"/>
      <c r="J27" s="17"/>
      <c r="K27" s="14">
        <v>95.44</v>
      </c>
      <c r="L27" s="10">
        <f t="shared" si="1"/>
        <v>99.59</v>
      </c>
      <c r="M27" s="11">
        <f t="shared" si="2"/>
        <v>0</v>
      </c>
      <c r="N27" s="12">
        <f t="shared" si="3"/>
        <v>0</v>
      </c>
      <c r="O27" s="17">
        <f t="shared" si="4"/>
        <v>0</v>
      </c>
      <c r="P27" s="14">
        <f t="shared" si="5"/>
        <v>95.44</v>
      </c>
    </row>
    <row r="28" spans="1:16" x14ac:dyDescent="0.25">
      <c r="A28" s="108" t="s">
        <v>127</v>
      </c>
      <c r="B28" s="125">
        <v>8</v>
      </c>
      <c r="C28" s="78" t="s">
        <v>31</v>
      </c>
      <c r="D28" s="81" t="s">
        <v>32</v>
      </c>
      <c r="E28" s="84" t="s">
        <v>11</v>
      </c>
      <c r="F28" s="85"/>
      <c r="G28" s="15"/>
      <c r="H28" s="16">
        <v>0.63</v>
      </c>
      <c r="I28" s="12"/>
      <c r="J28" s="13">
        <v>0.49</v>
      </c>
      <c r="K28" s="18"/>
      <c r="L28" s="10">
        <f t="shared" si="1"/>
        <v>0</v>
      </c>
      <c r="M28" s="16">
        <f t="shared" si="2"/>
        <v>0.63</v>
      </c>
      <c r="N28" s="12">
        <f t="shared" si="3"/>
        <v>0</v>
      </c>
      <c r="O28" s="13">
        <f t="shared" si="4"/>
        <v>0.49</v>
      </c>
      <c r="P28" s="18">
        <f t="shared" si="5"/>
        <v>0</v>
      </c>
    </row>
    <row r="29" spans="1:16" x14ac:dyDescent="0.25">
      <c r="A29" s="108"/>
      <c r="B29" s="126"/>
      <c r="C29" s="79"/>
      <c r="D29" s="82"/>
      <c r="E29" s="86" t="s">
        <v>16</v>
      </c>
      <c r="F29" s="87"/>
      <c r="G29" s="10">
        <v>0.56999999999999995</v>
      </c>
      <c r="H29" s="11"/>
      <c r="I29" s="12"/>
      <c r="J29" s="17"/>
      <c r="K29" s="14">
        <v>1.29</v>
      </c>
      <c r="L29" s="10">
        <f t="shared" si="1"/>
        <v>0.56999999999999995</v>
      </c>
      <c r="M29" s="11">
        <f t="shared" si="2"/>
        <v>0</v>
      </c>
      <c r="N29" s="12">
        <f t="shared" si="3"/>
        <v>0</v>
      </c>
      <c r="O29" s="17">
        <f t="shared" si="4"/>
        <v>0</v>
      </c>
      <c r="P29" s="14">
        <f t="shared" si="5"/>
        <v>1.29</v>
      </c>
    </row>
    <row r="30" spans="1:16" x14ac:dyDescent="0.25">
      <c r="A30" s="108"/>
      <c r="B30" s="126"/>
      <c r="C30" s="79"/>
      <c r="D30" s="82"/>
      <c r="E30" s="88" t="s">
        <v>13</v>
      </c>
      <c r="F30" s="89"/>
      <c r="G30" s="25" t="s">
        <v>45</v>
      </c>
      <c r="H30" s="11"/>
      <c r="I30" s="12"/>
      <c r="J30" s="17"/>
      <c r="K30" s="14">
        <v>0.44</v>
      </c>
      <c r="L30" s="10">
        <f t="shared" si="1"/>
        <v>0</v>
      </c>
      <c r="M30" s="11">
        <f t="shared" si="2"/>
        <v>0</v>
      </c>
      <c r="N30" s="12">
        <f t="shared" si="3"/>
        <v>0</v>
      </c>
      <c r="O30" s="17">
        <f t="shared" si="4"/>
        <v>0</v>
      </c>
      <c r="P30" s="14">
        <f t="shared" si="5"/>
        <v>0.44</v>
      </c>
    </row>
    <row r="31" spans="1:16" x14ac:dyDescent="0.25">
      <c r="A31" s="108"/>
      <c r="B31" s="127"/>
      <c r="C31" s="80"/>
      <c r="D31" s="83"/>
      <c r="E31" s="88" t="s">
        <v>17</v>
      </c>
      <c r="F31" s="89"/>
      <c r="G31" s="10">
        <v>0.12</v>
      </c>
      <c r="H31" s="11"/>
      <c r="I31" s="12"/>
      <c r="J31" s="17"/>
      <c r="K31" s="14">
        <v>7.0000000000000007E-2</v>
      </c>
      <c r="L31" s="10">
        <f t="shared" si="1"/>
        <v>0.12</v>
      </c>
      <c r="M31" s="11">
        <f t="shared" si="2"/>
        <v>0</v>
      </c>
      <c r="N31" s="12">
        <f t="shared" si="3"/>
        <v>0</v>
      </c>
      <c r="O31" s="17">
        <f t="shared" si="4"/>
        <v>0</v>
      </c>
      <c r="P31" s="14">
        <f t="shared" si="5"/>
        <v>7.0000000000000007E-2</v>
      </c>
    </row>
  </sheetData>
  <mergeCells count="56">
    <mergeCell ref="D4:D5"/>
    <mergeCell ref="E4:F4"/>
    <mergeCell ref="E5:F5"/>
    <mergeCell ref="B2:B3"/>
    <mergeCell ref="C2:C3"/>
    <mergeCell ref="D2:D3"/>
    <mergeCell ref="E2:F2"/>
    <mergeCell ref="E3:F3"/>
    <mergeCell ref="B16:B19"/>
    <mergeCell ref="C16:C19"/>
    <mergeCell ref="D16:D19"/>
    <mergeCell ref="D6:D7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12:B15"/>
    <mergeCell ref="C12:C15"/>
    <mergeCell ref="D12:D15"/>
    <mergeCell ref="B20:B23"/>
    <mergeCell ref="C20:C23"/>
    <mergeCell ref="D20:D23"/>
    <mergeCell ref="E20:F20"/>
    <mergeCell ref="E21:F21"/>
    <mergeCell ref="E22:F22"/>
    <mergeCell ref="E23:F23"/>
    <mergeCell ref="E30:F30"/>
    <mergeCell ref="E31:F31"/>
    <mergeCell ref="B24:B27"/>
    <mergeCell ref="C24:C27"/>
    <mergeCell ref="D24:D27"/>
    <mergeCell ref="E24:F24"/>
    <mergeCell ref="E25:F25"/>
    <mergeCell ref="E26:F26"/>
    <mergeCell ref="E27:F27"/>
    <mergeCell ref="A16:A19"/>
    <mergeCell ref="A20:A23"/>
    <mergeCell ref="A24:A27"/>
    <mergeCell ref="A28:A31"/>
    <mergeCell ref="E1:F1"/>
    <mergeCell ref="C4:C7"/>
    <mergeCell ref="B4:B7"/>
    <mergeCell ref="A2:A3"/>
    <mergeCell ref="A4:A7"/>
    <mergeCell ref="A8:A11"/>
    <mergeCell ref="A12:A15"/>
    <mergeCell ref="B28:B31"/>
    <mergeCell ref="C28:C31"/>
    <mergeCell ref="D28:D31"/>
    <mergeCell ref="E28:F28"/>
    <mergeCell ref="E29:F2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P31"/>
  <sheetViews>
    <sheetView workbookViewId="0">
      <selection activeCell="L3" sqref="L3"/>
    </sheetView>
  </sheetViews>
  <sheetFormatPr defaultRowHeight="13.2" x14ac:dyDescent="0.25"/>
  <cols>
    <col min="1" max="1" width="17" customWidth="1"/>
  </cols>
  <sheetData>
    <row r="1" spans="1:16" ht="40.799999999999997" x14ac:dyDescent="0.25">
      <c r="A1" s="31" t="s">
        <v>115</v>
      </c>
      <c r="B1" s="64" t="s">
        <v>0</v>
      </c>
      <c r="C1" s="57" t="s">
        <v>1</v>
      </c>
      <c r="D1" s="58" t="s">
        <v>2</v>
      </c>
      <c r="E1" s="123" t="s">
        <v>3</v>
      </c>
      <c r="F1" s="124"/>
      <c r="G1" s="59" t="s">
        <v>4</v>
      </c>
      <c r="H1" s="60" t="s">
        <v>5</v>
      </c>
      <c r="I1" s="61" t="s">
        <v>6</v>
      </c>
      <c r="J1" s="62" t="s">
        <v>7</v>
      </c>
      <c r="K1" s="63" t="s">
        <v>8</v>
      </c>
      <c r="L1" s="59" t="s">
        <v>4</v>
      </c>
      <c r="M1" s="60" t="s">
        <v>5</v>
      </c>
      <c r="N1" s="61" t="s">
        <v>6</v>
      </c>
      <c r="O1" s="62" t="s">
        <v>7</v>
      </c>
      <c r="P1" s="63" t="s">
        <v>8</v>
      </c>
    </row>
    <row r="2" spans="1:16" x14ac:dyDescent="0.25">
      <c r="A2" s="107" t="s">
        <v>128</v>
      </c>
      <c r="B2" s="125">
        <v>1</v>
      </c>
      <c r="C2" s="104" t="s">
        <v>9</v>
      </c>
      <c r="D2" s="104" t="s">
        <v>54</v>
      </c>
      <c r="E2" s="84" t="s">
        <v>11</v>
      </c>
      <c r="F2" s="85"/>
      <c r="G2" s="10">
        <v>100</v>
      </c>
      <c r="H2" s="16">
        <v>99.22</v>
      </c>
      <c r="I2" s="12"/>
      <c r="J2" s="13">
        <v>98.64</v>
      </c>
      <c r="K2" s="14">
        <v>99.88</v>
      </c>
      <c r="L2" s="10">
        <f>IF(OR(G2="NA",G2=0),0,(1*G2))</f>
        <v>100</v>
      </c>
      <c r="M2" s="16">
        <f t="shared" ref="M2:P2" si="0">IF(OR(H2="NA",H2=0),0,(1*H2))</f>
        <v>99.22</v>
      </c>
      <c r="N2" s="12">
        <f t="shared" si="0"/>
        <v>0</v>
      </c>
      <c r="O2" s="13">
        <f t="shared" si="0"/>
        <v>98.64</v>
      </c>
      <c r="P2" s="14">
        <f t="shared" si="0"/>
        <v>99.88</v>
      </c>
    </row>
    <row r="3" spans="1:16" x14ac:dyDescent="0.25">
      <c r="A3" s="108"/>
      <c r="B3" s="127"/>
      <c r="C3" s="106"/>
      <c r="D3" s="106"/>
      <c r="E3" s="86" t="s">
        <v>16</v>
      </c>
      <c r="F3" s="87"/>
      <c r="G3" s="15"/>
      <c r="H3" s="11"/>
      <c r="I3" s="12"/>
      <c r="J3" s="17"/>
      <c r="K3" s="18"/>
      <c r="L3" s="10">
        <f t="shared" ref="L3:L31" si="1">IF(OR(G3="NA",G3=0),0,(1*G3))</f>
        <v>0</v>
      </c>
      <c r="M3" s="11">
        <f t="shared" ref="M3:M31" si="2">IF(OR(H3="NA",H3=0),0,(1*H3))</f>
        <v>0</v>
      </c>
      <c r="N3" s="12">
        <f t="shared" ref="N3:N31" si="3">IF(OR(I3="NA",I3=0),0,(1*I3))</f>
        <v>0</v>
      </c>
      <c r="O3" s="17">
        <f t="shared" ref="O3:O31" si="4">IF(OR(J3="NA",J3=0),0,(1*J3))</f>
        <v>0</v>
      </c>
      <c r="P3" s="18">
        <f t="shared" ref="P3:P31" si="5">IF(OR(K3="NA",K3=0),0,(1*K3))</f>
        <v>0</v>
      </c>
    </row>
    <row r="4" spans="1:16" x14ac:dyDescent="0.25">
      <c r="A4" s="108" t="s">
        <v>128</v>
      </c>
      <c r="B4" s="125">
        <v>2</v>
      </c>
      <c r="C4" s="93" t="s">
        <v>14</v>
      </c>
      <c r="D4" s="93" t="s">
        <v>15</v>
      </c>
      <c r="E4" s="84" t="s">
        <v>11</v>
      </c>
      <c r="F4" s="85"/>
      <c r="G4" s="15"/>
      <c r="H4" s="16">
        <v>98.36</v>
      </c>
      <c r="I4" s="12"/>
      <c r="J4" s="13">
        <v>100</v>
      </c>
      <c r="K4" s="18"/>
      <c r="L4" s="10">
        <f t="shared" si="1"/>
        <v>0</v>
      </c>
      <c r="M4" s="16">
        <f t="shared" si="2"/>
        <v>98.36</v>
      </c>
      <c r="N4" s="12">
        <f t="shared" si="3"/>
        <v>0</v>
      </c>
      <c r="O4" s="13">
        <f t="shared" si="4"/>
        <v>100</v>
      </c>
      <c r="P4" s="18">
        <f t="shared" si="5"/>
        <v>0</v>
      </c>
    </row>
    <row r="5" spans="1:16" x14ac:dyDescent="0.25">
      <c r="A5" s="108"/>
      <c r="B5" s="126"/>
      <c r="C5" s="94"/>
      <c r="D5" s="94"/>
      <c r="E5" s="86" t="s">
        <v>16</v>
      </c>
      <c r="F5" s="87"/>
      <c r="G5" s="10">
        <v>100</v>
      </c>
      <c r="H5" s="11"/>
      <c r="I5" s="12"/>
      <c r="J5" s="17"/>
      <c r="K5" s="14">
        <v>99.17</v>
      </c>
      <c r="L5" s="10">
        <f t="shared" si="1"/>
        <v>100</v>
      </c>
      <c r="M5" s="11">
        <f t="shared" si="2"/>
        <v>0</v>
      </c>
      <c r="N5" s="12">
        <f t="shared" si="3"/>
        <v>0</v>
      </c>
      <c r="O5" s="17">
        <f t="shared" si="4"/>
        <v>0</v>
      </c>
      <c r="P5" s="14">
        <f t="shared" si="5"/>
        <v>99.17</v>
      </c>
    </row>
    <row r="6" spans="1:16" x14ac:dyDescent="0.25">
      <c r="A6" s="108"/>
      <c r="B6" s="126"/>
      <c r="C6" s="94"/>
      <c r="D6" s="94"/>
      <c r="E6" s="88" t="s">
        <v>13</v>
      </c>
      <c r="F6" s="89"/>
      <c r="G6" s="25" t="s">
        <v>45</v>
      </c>
      <c r="H6" s="11"/>
      <c r="I6" s="12"/>
      <c r="J6" s="17"/>
      <c r="K6" s="14">
        <v>100</v>
      </c>
      <c r="L6" s="10">
        <f t="shared" si="1"/>
        <v>0</v>
      </c>
      <c r="M6" s="11">
        <f t="shared" si="2"/>
        <v>0</v>
      </c>
      <c r="N6" s="12">
        <f t="shared" si="3"/>
        <v>0</v>
      </c>
      <c r="O6" s="17">
        <f t="shared" si="4"/>
        <v>0</v>
      </c>
      <c r="P6" s="14">
        <f t="shared" si="5"/>
        <v>100</v>
      </c>
    </row>
    <row r="7" spans="1:16" x14ac:dyDescent="0.25">
      <c r="A7" s="108"/>
      <c r="B7" s="127"/>
      <c r="C7" s="95"/>
      <c r="D7" s="95"/>
      <c r="E7" s="88" t="s">
        <v>17</v>
      </c>
      <c r="F7" s="89"/>
      <c r="G7" s="10">
        <v>100</v>
      </c>
      <c r="H7" s="11"/>
      <c r="I7" s="12"/>
      <c r="J7" s="17"/>
      <c r="K7" s="14">
        <v>99.26</v>
      </c>
      <c r="L7" s="10">
        <f t="shared" si="1"/>
        <v>100</v>
      </c>
      <c r="M7" s="11">
        <f t="shared" si="2"/>
        <v>0</v>
      </c>
      <c r="N7" s="12">
        <f t="shared" si="3"/>
        <v>0</v>
      </c>
      <c r="O7" s="17">
        <f t="shared" si="4"/>
        <v>0</v>
      </c>
      <c r="P7" s="14">
        <f t="shared" si="5"/>
        <v>99.26</v>
      </c>
    </row>
    <row r="8" spans="1:16" x14ac:dyDescent="0.25">
      <c r="A8" s="108" t="s">
        <v>128</v>
      </c>
      <c r="B8" s="125">
        <v>3</v>
      </c>
      <c r="C8" s="93" t="s">
        <v>18</v>
      </c>
      <c r="D8" s="93" t="s">
        <v>19</v>
      </c>
      <c r="E8" s="84" t="s">
        <v>11</v>
      </c>
      <c r="F8" s="85"/>
      <c r="G8" s="15"/>
      <c r="H8" s="16">
        <v>96.11</v>
      </c>
      <c r="I8" s="12"/>
      <c r="J8" s="13">
        <v>100</v>
      </c>
      <c r="K8" s="18"/>
      <c r="L8" s="10">
        <f t="shared" si="1"/>
        <v>0</v>
      </c>
      <c r="M8" s="16">
        <f t="shared" si="2"/>
        <v>96.11</v>
      </c>
      <c r="N8" s="12">
        <f t="shared" si="3"/>
        <v>0</v>
      </c>
      <c r="O8" s="13">
        <f t="shared" si="4"/>
        <v>100</v>
      </c>
      <c r="P8" s="18">
        <f t="shared" si="5"/>
        <v>0</v>
      </c>
    </row>
    <row r="9" spans="1:16" x14ac:dyDescent="0.25">
      <c r="A9" s="108"/>
      <c r="B9" s="126"/>
      <c r="C9" s="94"/>
      <c r="D9" s="94"/>
      <c r="E9" s="86" t="s">
        <v>16</v>
      </c>
      <c r="F9" s="87"/>
      <c r="G9" s="10">
        <v>100</v>
      </c>
      <c r="H9" s="11"/>
      <c r="I9" s="12"/>
      <c r="J9" s="17"/>
      <c r="K9" s="14">
        <v>100</v>
      </c>
      <c r="L9" s="10">
        <f t="shared" si="1"/>
        <v>100</v>
      </c>
      <c r="M9" s="11">
        <f t="shared" si="2"/>
        <v>0</v>
      </c>
      <c r="N9" s="12">
        <f t="shared" si="3"/>
        <v>0</v>
      </c>
      <c r="O9" s="17">
        <f t="shared" si="4"/>
        <v>0</v>
      </c>
      <c r="P9" s="14">
        <f t="shared" si="5"/>
        <v>100</v>
      </c>
    </row>
    <row r="10" spans="1:16" x14ac:dyDescent="0.25">
      <c r="A10" s="108"/>
      <c r="B10" s="126"/>
      <c r="C10" s="94"/>
      <c r="D10" s="94"/>
      <c r="E10" s="88" t="s">
        <v>13</v>
      </c>
      <c r="F10" s="89"/>
      <c r="G10" s="25" t="s">
        <v>45</v>
      </c>
      <c r="H10" s="11"/>
      <c r="I10" s="12"/>
      <c r="J10" s="17"/>
      <c r="K10" s="14">
        <v>100</v>
      </c>
      <c r="L10" s="10">
        <f t="shared" si="1"/>
        <v>0</v>
      </c>
      <c r="M10" s="11">
        <f t="shared" si="2"/>
        <v>0</v>
      </c>
      <c r="N10" s="12">
        <f t="shared" si="3"/>
        <v>0</v>
      </c>
      <c r="O10" s="17">
        <f t="shared" si="4"/>
        <v>0</v>
      </c>
      <c r="P10" s="14">
        <f t="shared" si="5"/>
        <v>100</v>
      </c>
    </row>
    <row r="11" spans="1:16" x14ac:dyDescent="0.25">
      <c r="A11" s="108"/>
      <c r="B11" s="127"/>
      <c r="C11" s="95"/>
      <c r="D11" s="95"/>
      <c r="E11" s="88" t="s">
        <v>17</v>
      </c>
      <c r="F11" s="89"/>
      <c r="G11" s="10">
        <v>100</v>
      </c>
      <c r="H11" s="11"/>
      <c r="I11" s="12"/>
      <c r="J11" s="17"/>
      <c r="K11" s="14">
        <v>99.07</v>
      </c>
      <c r="L11" s="10">
        <f t="shared" si="1"/>
        <v>100</v>
      </c>
      <c r="M11" s="11">
        <f t="shared" si="2"/>
        <v>0</v>
      </c>
      <c r="N11" s="12">
        <f t="shared" si="3"/>
        <v>0</v>
      </c>
      <c r="O11" s="17">
        <f t="shared" si="4"/>
        <v>0</v>
      </c>
      <c r="P11" s="14">
        <f t="shared" si="5"/>
        <v>99.07</v>
      </c>
    </row>
    <row r="12" spans="1:16" x14ac:dyDescent="0.25">
      <c r="A12" s="108" t="s">
        <v>128</v>
      </c>
      <c r="B12" s="125">
        <v>4</v>
      </c>
      <c r="C12" s="99" t="s">
        <v>20</v>
      </c>
      <c r="D12" s="99" t="s">
        <v>21</v>
      </c>
      <c r="E12" s="8" t="s">
        <v>22</v>
      </c>
      <c r="F12" s="19" t="s">
        <v>23</v>
      </c>
      <c r="G12" s="15"/>
      <c r="H12" s="11"/>
      <c r="I12" s="12"/>
      <c r="J12" s="17"/>
      <c r="K12" s="18"/>
      <c r="L12" s="10">
        <f t="shared" si="1"/>
        <v>0</v>
      </c>
      <c r="M12" s="11">
        <f t="shared" si="2"/>
        <v>0</v>
      </c>
      <c r="N12" s="12">
        <f t="shared" si="3"/>
        <v>0</v>
      </c>
      <c r="O12" s="17">
        <f t="shared" si="4"/>
        <v>0</v>
      </c>
      <c r="P12" s="18">
        <f t="shared" si="5"/>
        <v>0</v>
      </c>
    </row>
    <row r="13" spans="1:16" x14ac:dyDescent="0.25">
      <c r="A13" s="108"/>
      <c r="B13" s="126"/>
      <c r="C13" s="100"/>
      <c r="D13" s="100"/>
      <c r="E13" s="8" t="s">
        <v>12</v>
      </c>
      <c r="F13" s="19" t="s">
        <v>23</v>
      </c>
      <c r="G13" s="10">
        <v>72</v>
      </c>
      <c r="H13" s="16">
        <v>105</v>
      </c>
      <c r="I13" s="12"/>
      <c r="J13" s="17"/>
      <c r="K13" s="14">
        <v>111.87</v>
      </c>
      <c r="L13" s="10">
        <f t="shared" si="1"/>
        <v>72</v>
      </c>
      <c r="M13" s="16">
        <f t="shared" si="2"/>
        <v>105</v>
      </c>
      <c r="N13" s="12">
        <f t="shared" si="3"/>
        <v>0</v>
      </c>
      <c r="O13" s="17">
        <f t="shared" si="4"/>
        <v>0</v>
      </c>
      <c r="P13" s="14">
        <f t="shared" si="5"/>
        <v>111.87</v>
      </c>
    </row>
    <row r="14" spans="1:16" x14ac:dyDescent="0.25">
      <c r="A14" s="108"/>
      <c r="B14" s="126"/>
      <c r="C14" s="100"/>
      <c r="D14" s="100"/>
      <c r="E14" s="8" t="s">
        <v>13</v>
      </c>
      <c r="F14" s="19" t="s">
        <v>23</v>
      </c>
      <c r="G14" s="25" t="s">
        <v>45</v>
      </c>
      <c r="H14" s="16">
        <v>4044</v>
      </c>
      <c r="I14" s="12"/>
      <c r="J14" s="17"/>
      <c r="K14" s="14">
        <v>5548.73</v>
      </c>
      <c r="L14" s="10">
        <f t="shared" si="1"/>
        <v>0</v>
      </c>
      <c r="M14" s="16">
        <f t="shared" si="2"/>
        <v>4044</v>
      </c>
      <c r="N14" s="12">
        <f t="shared" si="3"/>
        <v>0</v>
      </c>
      <c r="O14" s="17">
        <f t="shared" si="4"/>
        <v>0</v>
      </c>
      <c r="P14" s="14">
        <f t="shared" si="5"/>
        <v>5548.73</v>
      </c>
    </row>
    <row r="15" spans="1:16" x14ac:dyDescent="0.25">
      <c r="A15" s="108"/>
      <c r="B15" s="127"/>
      <c r="C15" s="101"/>
      <c r="D15" s="101"/>
      <c r="E15" s="8" t="s">
        <v>17</v>
      </c>
      <c r="F15" s="19" t="s">
        <v>24</v>
      </c>
      <c r="G15" s="10">
        <v>3932.33</v>
      </c>
      <c r="H15" s="11"/>
      <c r="I15" s="12"/>
      <c r="J15" s="13">
        <v>6771.51</v>
      </c>
      <c r="K15" s="14">
        <v>12429.29</v>
      </c>
      <c r="L15" s="10">
        <f t="shared" si="1"/>
        <v>3932.33</v>
      </c>
      <c r="M15" s="11">
        <f t="shared" si="2"/>
        <v>0</v>
      </c>
      <c r="N15" s="12">
        <f t="shared" si="3"/>
        <v>0</v>
      </c>
      <c r="O15" s="13">
        <f t="shared" si="4"/>
        <v>6771.51</v>
      </c>
      <c r="P15" s="14">
        <f t="shared" si="5"/>
        <v>12429.29</v>
      </c>
    </row>
    <row r="16" spans="1:16" ht="13.2" customHeight="1" x14ac:dyDescent="0.25">
      <c r="A16" s="108" t="s">
        <v>128</v>
      </c>
      <c r="B16" s="125">
        <v>5</v>
      </c>
      <c r="C16" s="93" t="s">
        <v>25</v>
      </c>
      <c r="D16" s="93" t="s">
        <v>26</v>
      </c>
      <c r="E16" s="8" t="s">
        <v>22</v>
      </c>
      <c r="F16" s="19" t="s">
        <v>23</v>
      </c>
      <c r="G16" s="15"/>
      <c r="H16" s="11"/>
      <c r="I16" s="12"/>
      <c r="J16" s="17"/>
      <c r="K16" s="18"/>
      <c r="L16" s="10">
        <f t="shared" si="1"/>
        <v>0</v>
      </c>
      <c r="M16" s="11">
        <f t="shared" si="2"/>
        <v>0</v>
      </c>
      <c r="N16" s="12">
        <f t="shared" si="3"/>
        <v>0</v>
      </c>
      <c r="O16" s="17">
        <f t="shared" si="4"/>
        <v>0</v>
      </c>
      <c r="P16" s="18">
        <f t="shared" si="5"/>
        <v>0</v>
      </c>
    </row>
    <row r="17" spans="1:16" x14ac:dyDescent="0.25">
      <c r="A17" s="108"/>
      <c r="B17" s="126"/>
      <c r="C17" s="94"/>
      <c r="D17" s="94"/>
      <c r="E17" s="8" t="s">
        <v>12</v>
      </c>
      <c r="F17" s="19" t="s">
        <v>23</v>
      </c>
      <c r="G17" s="10">
        <v>127.82</v>
      </c>
      <c r="H17" s="16">
        <v>121</v>
      </c>
      <c r="I17" s="12"/>
      <c r="J17" s="17"/>
      <c r="K17" s="14">
        <v>206.07</v>
      </c>
      <c r="L17" s="10">
        <f t="shared" si="1"/>
        <v>127.82</v>
      </c>
      <c r="M17" s="16">
        <f t="shared" si="2"/>
        <v>121</v>
      </c>
      <c r="N17" s="12">
        <f t="shared" si="3"/>
        <v>0</v>
      </c>
      <c r="O17" s="17">
        <f t="shared" si="4"/>
        <v>0</v>
      </c>
      <c r="P17" s="14">
        <f t="shared" si="5"/>
        <v>206.07</v>
      </c>
    </row>
    <row r="18" spans="1:16" x14ac:dyDescent="0.25">
      <c r="A18" s="108"/>
      <c r="B18" s="126"/>
      <c r="C18" s="94"/>
      <c r="D18" s="94"/>
      <c r="E18" s="8" t="s">
        <v>13</v>
      </c>
      <c r="F18" s="19" t="s">
        <v>23</v>
      </c>
      <c r="G18" s="25" t="s">
        <v>45</v>
      </c>
      <c r="H18" s="16">
        <v>4143</v>
      </c>
      <c r="I18" s="12"/>
      <c r="J18" s="17"/>
      <c r="K18" s="14">
        <v>7887.73</v>
      </c>
      <c r="L18" s="10">
        <f t="shared" si="1"/>
        <v>0</v>
      </c>
      <c r="M18" s="16">
        <f t="shared" si="2"/>
        <v>4143</v>
      </c>
      <c r="N18" s="12">
        <f t="shared" si="3"/>
        <v>0</v>
      </c>
      <c r="O18" s="17">
        <f t="shared" si="4"/>
        <v>0</v>
      </c>
      <c r="P18" s="14">
        <f t="shared" si="5"/>
        <v>7887.73</v>
      </c>
    </row>
    <row r="19" spans="1:16" x14ac:dyDescent="0.25">
      <c r="A19" s="108"/>
      <c r="B19" s="65"/>
      <c r="C19" s="95"/>
      <c r="D19" s="95"/>
      <c r="E19" s="8" t="s">
        <v>17</v>
      </c>
      <c r="F19" s="19" t="s">
        <v>24</v>
      </c>
      <c r="G19" s="10">
        <v>14879.66</v>
      </c>
      <c r="H19" s="11"/>
      <c r="I19" s="12"/>
      <c r="J19" s="13">
        <v>24237.279999999999</v>
      </c>
      <c r="K19" s="14">
        <v>22378.3</v>
      </c>
      <c r="L19" s="10">
        <f t="shared" si="1"/>
        <v>14879.66</v>
      </c>
      <c r="M19" s="11">
        <f t="shared" si="2"/>
        <v>0</v>
      </c>
      <c r="N19" s="12">
        <f t="shared" si="3"/>
        <v>0</v>
      </c>
      <c r="O19" s="13">
        <f t="shared" si="4"/>
        <v>24237.279999999999</v>
      </c>
      <c r="P19" s="14">
        <f t="shared" si="5"/>
        <v>22378.3</v>
      </c>
    </row>
    <row r="20" spans="1:16" x14ac:dyDescent="0.25">
      <c r="A20" s="108" t="s">
        <v>128</v>
      </c>
      <c r="B20" s="125">
        <v>6</v>
      </c>
      <c r="C20" s="93" t="s">
        <v>27</v>
      </c>
      <c r="D20" s="96" t="s">
        <v>28</v>
      </c>
      <c r="E20" s="84" t="s">
        <v>11</v>
      </c>
      <c r="F20" s="85"/>
      <c r="G20" s="15"/>
      <c r="H20" s="16">
        <v>117</v>
      </c>
      <c r="I20" s="12"/>
      <c r="J20" s="13">
        <v>55.49</v>
      </c>
      <c r="K20" s="18"/>
      <c r="L20" s="10">
        <f t="shared" si="1"/>
        <v>0</v>
      </c>
      <c r="M20" s="16">
        <f t="shared" si="2"/>
        <v>117</v>
      </c>
      <c r="N20" s="12">
        <f t="shared" si="3"/>
        <v>0</v>
      </c>
      <c r="O20" s="13">
        <f t="shared" si="4"/>
        <v>55.49</v>
      </c>
      <c r="P20" s="18">
        <f t="shared" si="5"/>
        <v>0</v>
      </c>
    </row>
    <row r="21" spans="1:16" x14ac:dyDescent="0.25">
      <c r="A21" s="108"/>
      <c r="B21" s="126"/>
      <c r="C21" s="94"/>
      <c r="D21" s="97"/>
      <c r="E21" s="86" t="s">
        <v>16</v>
      </c>
      <c r="F21" s="87"/>
      <c r="G21" s="10">
        <v>237.34</v>
      </c>
      <c r="H21" s="11"/>
      <c r="I21" s="12"/>
      <c r="J21" s="17"/>
      <c r="K21" s="14">
        <v>55.25</v>
      </c>
      <c r="L21" s="10">
        <f t="shared" si="1"/>
        <v>237.34</v>
      </c>
      <c r="M21" s="11">
        <f t="shared" si="2"/>
        <v>0</v>
      </c>
      <c r="N21" s="12">
        <f t="shared" si="3"/>
        <v>0</v>
      </c>
      <c r="O21" s="17">
        <f t="shared" si="4"/>
        <v>0</v>
      </c>
      <c r="P21" s="14">
        <f t="shared" si="5"/>
        <v>55.25</v>
      </c>
    </row>
    <row r="22" spans="1:16" x14ac:dyDescent="0.25">
      <c r="A22" s="108"/>
      <c r="B22" s="126"/>
      <c r="C22" s="94"/>
      <c r="D22" s="97"/>
      <c r="E22" s="88" t="s">
        <v>13</v>
      </c>
      <c r="F22" s="89"/>
      <c r="G22" s="25" t="s">
        <v>45</v>
      </c>
      <c r="H22" s="11"/>
      <c r="I22" s="12"/>
      <c r="J22" s="17"/>
      <c r="K22" s="14">
        <v>27.42</v>
      </c>
      <c r="L22" s="10">
        <f t="shared" si="1"/>
        <v>0</v>
      </c>
      <c r="M22" s="11">
        <f t="shared" si="2"/>
        <v>0</v>
      </c>
      <c r="N22" s="12">
        <f t="shared" si="3"/>
        <v>0</v>
      </c>
      <c r="O22" s="17">
        <f t="shared" si="4"/>
        <v>0</v>
      </c>
      <c r="P22" s="14">
        <f t="shared" si="5"/>
        <v>27.42</v>
      </c>
    </row>
    <row r="23" spans="1:16" x14ac:dyDescent="0.25">
      <c r="A23" s="108"/>
      <c r="B23" s="127"/>
      <c r="C23" s="95"/>
      <c r="D23" s="98"/>
      <c r="E23" s="88" t="s">
        <v>17</v>
      </c>
      <c r="F23" s="89"/>
      <c r="G23" s="10">
        <v>90</v>
      </c>
      <c r="H23" s="11"/>
      <c r="I23" s="12"/>
      <c r="J23" s="17"/>
      <c r="K23" s="14">
        <v>21.83</v>
      </c>
      <c r="L23" s="10">
        <f t="shared" si="1"/>
        <v>90</v>
      </c>
      <c r="M23" s="11">
        <f t="shared" si="2"/>
        <v>0</v>
      </c>
      <c r="N23" s="12">
        <f t="shared" si="3"/>
        <v>0</v>
      </c>
      <c r="O23" s="17">
        <f t="shared" si="4"/>
        <v>0</v>
      </c>
      <c r="P23" s="14">
        <f t="shared" si="5"/>
        <v>21.83</v>
      </c>
    </row>
    <row r="24" spans="1:16" x14ac:dyDescent="0.25">
      <c r="A24" s="108" t="s">
        <v>128</v>
      </c>
      <c r="B24" s="125">
        <v>7</v>
      </c>
      <c r="C24" s="90" t="s">
        <v>29</v>
      </c>
      <c r="D24" s="81" t="s">
        <v>30</v>
      </c>
      <c r="E24" s="84" t="s">
        <v>11</v>
      </c>
      <c r="F24" s="85"/>
      <c r="G24" s="15"/>
      <c r="H24" s="16">
        <v>97.31</v>
      </c>
      <c r="I24" s="12"/>
      <c r="J24" s="13">
        <v>99.79</v>
      </c>
      <c r="K24" s="18"/>
      <c r="L24" s="10">
        <f t="shared" si="1"/>
        <v>0</v>
      </c>
      <c r="M24" s="16">
        <f t="shared" si="2"/>
        <v>97.31</v>
      </c>
      <c r="N24" s="12">
        <f t="shared" si="3"/>
        <v>0</v>
      </c>
      <c r="O24" s="13">
        <f t="shared" si="4"/>
        <v>99.79</v>
      </c>
      <c r="P24" s="18">
        <f t="shared" si="5"/>
        <v>0</v>
      </c>
    </row>
    <row r="25" spans="1:16" x14ac:dyDescent="0.25">
      <c r="A25" s="108"/>
      <c r="B25" s="126"/>
      <c r="C25" s="91"/>
      <c r="D25" s="82"/>
      <c r="E25" s="86" t="s">
        <v>16</v>
      </c>
      <c r="F25" s="87"/>
      <c r="G25" s="10">
        <v>99.97</v>
      </c>
      <c r="H25" s="11"/>
      <c r="I25" s="12"/>
      <c r="J25" s="17"/>
      <c r="K25" s="14">
        <v>99.99</v>
      </c>
      <c r="L25" s="10">
        <f t="shared" si="1"/>
        <v>99.97</v>
      </c>
      <c r="M25" s="11">
        <f t="shared" si="2"/>
        <v>0</v>
      </c>
      <c r="N25" s="12">
        <f t="shared" si="3"/>
        <v>0</v>
      </c>
      <c r="O25" s="17">
        <f t="shared" si="4"/>
        <v>0</v>
      </c>
      <c r="P25" s="14">
        <f t="shared" si="5"/>
        <v>99.99</v>
      </c>
    </row>
    <row r="26" spans="1:16" x14ac:dyDescent="0.25">
      <c r="A26" s="108"/>
      <c r="B26" s="126"/>
      <c r="C26" s="91"/>
      <c r="D26" s="82"/>
      <c r="E26" s="88" t="s">
        <v>13</v>
      </c>
      <c r="F26" s="89"/>
      <c r="G26" s="25" t="s">
        <v>45</v>
      </c>
      <c r="H26" s="11"/>
      <c r="I26" s="12"/>
      <c r="J26" s="17"/>
      <c r="K26" s="14">
        <v>99.47</v>
      </c>
      <c r="L26" s="10">
        <f t="shared" si="1"/>
        <v>0</v>
      </c>
      <c r="M26" s="11">
        <f t="shared" si="2"/>
        <v>0</v>
      </c>
      <c r="N26" s="12">
        <f t="shared" si="3"/>
        <v>0</v>
      </c>
      <c r="O26" s="17">
        <f t="shared" si="4"/>
        <v>0</v>
      </c>
      <c r="P26" s="14">
        <f t="shared" si="5"/>
        <v>99.47</v>
      </c>
    </row>
    <row r="27" spans="1:16" x14ac:dyDescent="0.25">
      <c r="A27" s="108"/>
      <c r="B27" s="127"/>
      <c r="C27" s="92"/>
      <c r="D27" s="83"/>
      <c r="E27" s="88" t="s">
        <v>17</v>
      </c>
      <c r="F27" s="89"/>
      <c r="G27" s="10">
        <v>99.96</v>
      </c>
      <c r="H27" s="11"/>
      <c r="I27" s="12"/>
      <c r="J27" s="17"/>
      <c r="K27" s="14">
        <v>98.65</v>
      </c>
      <c r="L27" s="10">
        <f t="shared" si="1"/>
        <v>99.96</v>
      </c>
      <c r="M27" s="11">
        <f t="shared" si="2"/>
        <v>0</v>
      </c>
      <c r="N27" s="12">
        <f t="shared" si="3"/>
        <v>0</v>
      </c>
      <c r="O27" s="17">
        <f t="shared" si="4"/>
        <v>0</v>
      </c>
      <c r="P27" s="14">
        <f t="shared" si="5"/>
        <v>98.65</v>
      </c>
    </row>
    <row r="28" spans="1:16" x14ac:dyDescent="0.25">
      <c r="A28" s="108" t="s">
        <v>128</v>
      </c>
      <c r="B28" s="125">
        <v>8</v>
      </c>
      <c r="C28" s="78" t="s">
        <v>31</v>
      </c>
      <c r="D28" s="81" t="s">
        <v>32</v>
      </c>
      <c r="E28" s="84" t="s">
        <v>11</v>
      </c>
      <c r="F28" s="85"/>
      <c r="G28" s="15"/>
      <c r="H28" s="16">
        <v>2.0099999999999998</v>
      </c>
      <c r="I28" s="12"/>
      <c r="J28" s="13">
        <v>0.54</v>
      </c>
      <c r="K28" s="18"/>
      <c r="L28" s="10">
        <f t="shared" si="1"/>
        <v>0</v>
      </c>
      <c r="M28" s="16">
        <f t="shared" si="2"/>
        <v>2.0099999999999998</v>
      </c>
      <c r="N28" s="12">
        <f t="shared" si="3"/>
        <v>0</v>
      </c>
      <c r="O28" s="13">
        <f t="shared" si="4"/>
        <v>0.54</v>
      </c>
      <c r="P28" s="18">
        <f t="shared" si="5"/>
        <v>0</v>
      </c>
    </row>
    <row r="29" spans="1:16" x14ac:dyDescent="0.25">
      <c r="A29" s="108"/>
      <c r="B29" s="126"/>
      <c r="C29" s="79"/>
      <c r="D29" s="82"/>
      <c r="E29" s="86" t="s">
        <v>16</v>
      </c>
      <c r="F29" s="87"/>
      <c r="G29" s="10">
        <v>4.75</v>
      </c>
      <c r="H29" s="11"/>
      <c r="I29" s="12"/>
      <c r="J29" s="17"/>
      <c r="K29" s="14">
        <v>1.93</v>
      </c>
      <c r="L29" s="10">
        <f t="shared" si="1"/>
        <v>4.75</v>
      </c>
      <c r="M29" s="11">
        <f t="shared" si="2"/>
        <v>0</v>
      </c>
      <c r="N29" s="12">
        <f t="shared" si="3"/>
        <v>0</v>
      </c>
      <c r="O29" s="17">
        <f t="shared" si="4"/>
        <v>0</v>
      </c>
      <c r="P29" s="14">
        <f t="shared" si="5"/>
        <v>1.93</v>
      </c>
    </row>
    <row r="30" spans="1:16" x14ac:dyDescent="0.25">
      <c r="A30" s="108"/>
      <c r="B30" s="126"/>
      <c r="C30" s="79"/>
      <c r="D30" s="82"/>
      <c r="E30" s="88" t="s">
        <v>13</v>
      </c>
      <c r="F30" s="89"/>
      <c r="G30" s="25" t="s">
        <v>45</v>
      </c>
      <c r="H30" s="11"/>
      <c r="I30" s="12"/>
      <c r="J30" s="17"/>
      <c r="K30" s="14">
        <v>1.54</v>
      </c>
      <c r="L30" s="10">
        <f t="shared" si="1"/>
        <v>0</v>
      </c>
      <c r="M30" s="11">
        <f t="shared" si="2"/>
        <v>0</v>
      </c>
      <c r="N30" s="12">
        <f t="shared" si="3"/>
        <v>0</v>
      </c>
      <c r="O30" s="17">
        <f t="shared" si="4"/>
        <v>0</v>
      </c>
      <c r="P30" s="14">
        <f t="shared" si="5"/>
        <v>1.54</v>
      </c>
    </row>
    <row r="31" spans="1:16" x14ac:dyDescent="0.25">
      <c r="A31" s="108"/>
      <c r="B31" s="127"/>
      <c r="C31" s="80"/>
      <c r="D31" s="83"/>
      <c r="E31" s="88" t="s">
        <v>17</v>
      </c>
      <c r="F31" s="89"/>
      <c r="G31" s="10">
        <v>0.67</v>
      </c>
      <c r="H31" s="11"/>
      <c r="I31" s="12"/>
      <c r="J31" s="17"/>
      <c r="K31" s="14">
        <v>0.28999999999999998</v>
      </c>
      <c r="L31" s="10">
        <f t="shared" si="1"/>
        <v>0.67</v>
      </c>
      <c r="M31" s="11">
        <f t="shared" si="2"/>
        <v>0</v>
      </c>
      <c r="N31" s="12">
        <f t="shared" si="3"/>
        <v>0</v>
      </c>
      <c r="O31" s="17">
        <f t="shared" si="4"/>
        <v>0</v>
      </c>
      <c r="P31" s="14">
        <f t="shared" si="5"/>
        <v>0.28999999999999998</v>
      </c>
    </row>
  </sheetData>
  <mergeCells count="55">
    <mergeCell ref="E4:F4"/>
    <mergeCell ref="E5:F5"/>
    <mergeCell ref="B2:B3"/>
    <mergeCell ref="C2:C3"/>
    <mergeCell ref="D2:D3"/>
    <mergeCell ref="E2:F2"/>
    <mergeCell ref="E3:F3"/>
    <mergeCell ref="B12:B15"/>
    <mergeCell ref="C12:C15"/>
    <mergeCell ref="D12:D15"/>
    <mergeCell ref="B16:B18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B20:B23"/>
    <mergeCell ref="C20:C23"/>
    <mergeCell ref="D20:D23"/>
    <mergeCell ref="E20:F20"/>
    <mergeCell ref="E21:F21"/>
    <mergeCell ref="E22:F22"/>
    <mergeCell ref="E23:F23"/>
    <mergeCell ref="E30:F30"/>
    <mergeCell ref="E31:F31"/>
    <mergeCell ref="B24:B27"/>
    <mergeCell ref="C24:C27"/>
    <mergeCell ref="D24:D27"/>
    <mergeCell ref="E24:F24"/>
    <mergeCell ref="E25:F25"/>
    <mergeCell ref="E26:F26"/>
    <mergeCell ref="E27:F27"/>
    <mergeCell ref="A24:A27"/>
    <mergeCell ref="A28:A31"/>
    <mergeCell ref="E1:F1"/>
    <mergeCell ref="C16:C19"/>
    <mergeCell ref="D16:D19"/>
    <mergeCell ref="A2:A3"/>
    <mergeCell ref="A4:A7"/>
    <mergeCell ref="A8:A11"/>
    <mergeCell ref="A12:A15"/>
    <mergeCell ref="A16:A19"/>
    <mergeCell ref="A20:A23"/>
    <mergeCell ref="B28:B31"/>
    <mergeCell ref="C28:C31"/>
    <mergeCell ref="D28:D31"/>
    <mergeCell ref="E28:F28"/>
    <mergeCell ref="E29:F2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X56"/>
  <sheetViews>
    <sheetView workbookViewId="0">
      <selection activeCell="L2" sqref="L2"/>
    </sheetView>
  </sheetViews>
  <sheetFormatPr defaultRowHeight="13.2" x14ac:dyDescent="0.25"/>
  <cols>
    <col min="1" max="1" width="27.109375" customWidth="1"/>
  </cols>
  <sheetData>
    <row r="1" spans="1:24" ht="40.799999999999997" x14ac:dyDescent="0.25">
      <c r="A1" s="31" t="s">
        <v>115</v>
      </c>
      <c r="B1" s="64" t="s">
        <v>0</v>
      </c>
      <c r="C1" s="57" t="s">
        <v>1</v>
      </c>
      <c r="D1" s="58" t="s">
        <v>2</v>
      </c>
      <c r="E1" s="123" t="s">
        <v>3</v>
      </c>
      <c r="F1" s="124"/>
      <c r="G1" s="59" t="s">
        <v>4</v>
      </c>
      <c r="H1" s="60" t="s">
        <v>5</v>
      </c>
      <c r="I1" s="61" t="s">
        <v>6</v>
      </c>
      <c r="J1" s="62" t="s">
        <v>7</v>
      </c>
      <c r="K1" s="63" t="s">
        <v>8</v>
      </c>
      <c r="L1" s="59" t="s">
        <v>4</v>
      </c>
      <c r="M1" s="60" t="s">
        <v>5</v>
      </c>
      <c r="N1" s="61" t="s">
        <v>6</v>
      </c>
      <c r="O1" s="62" t="s">
        <v>7</v>
      </c>
      <c r="P1" s="63" t="s">
        <v>8</v>
      </c>
      <c r="T1" s="59" t="s">
        <v>4</v>
      </c>
      <c r="U1" s="60" t="s">
        <v>5</v>
      </c>
      <c r="V1" s="61" t="s">
        <v>6</v>
      </c>
      <c r="W1" s="62" t="s">
        <v>7</v>
      </c>
      <c r="X1" s="63" t="s">
        <v>8</v>
      </c>
    </row>
    <row r="2" spans="1:24" x14ac:dyDescent="0.25">
      <c r="A2" s="133" t="s">
        <v>129</v>
      </c>
      <c r="B2" s="125">
        <v>1</v>
      </c>
      <c r="C2" s="104" t="s">
        <v>9</v>
      </c>
      <c r="D2" s="104" t="s">
        <v>33</v>
      </c>
      <c r="E2" s="137" t="s">
        <v>11</v>
      </c>
      <c r="F2" s="138"/>
      <c r="G2" s="10">
        <v>100</v>
      </c>
      <c r="H2" s="11"/>
      <c r="I2" s="12"/>
      <c r="J2" s="13">
        <v>98.78</v>
      </c>
      <c r="K2" s="14">
        <v>99.86</v>
      </c>
      <c r="L2" s="10">
        <f>IF(OR(G2="NA",G2=0),0,(1*G2))</f>
        <v>100</v>
      </c>
      <c r="M2" s="11">
        <f t="shared" ref="M2:P2" si="0">IF(OR(H2="NA",H2=0),0,(1*H2))</f>
        <v>0</v>
      </c>
      <c r="N2" s="12">
        <f t="shared" si="0"/>
        <v>0</v>
      </c>
      <c r="O2" s="13">
        <f t="shared" si="0"/>
        <v>98.78</v>
      </c>
      <c r="P2" s="14">
        <f t="shared" si="0"/>
        <v>99.86</v>
      </c>
      <c r="T2" s="10">
        <v>100</v>
      </c>
      <c r="U2" s="11"/>
      <c r="V2" s="12"/>
      <c r="W2" s="13">
        <v>98.78</v>
      </c>
      <c r="X2" s="14">
        <v>99.86</v>
      </c>
    </row>
    <row r="3" spans="1:24" x14ac:dyDescent="0.25">
      <c r="A3" s="131"/>
      <c r="B3" s="126"/>
      <c r="C3" s="105"/>
      <c r="D3" s="105"/>
      <c r="E3" s="88" t="s">
        <v>12</v>
      </c>
      <c r="F3" s="89"/>
      <c r="G3" s="15"/>
      <c r="H3" s="16">
        <v>98.13</v>
      </c>
      <c r="I3" s="12"/>
      <c r="J3" s="17"/>
      <c r="K3" s="18"/>
      <c r="L3" s="10">
        <f t="shared" ref="L3:L56" si="1">IF(OR(G3="NA",G3=0),0,(1*G3))</f>
        <v>0</v>
      </c>
      <c r="M3" s="16">
        <f t="shared" ref="M3:M56" si="2">IF(OR(H3="NA",H3=0),0,(1*H3))</f>
        <v>98.13</v>
      </c>
      <c r="N3" s="12">
        <f t="shared" ref="N3:N56" si="3">IF(OR(I3="NA",I3=0),0,(1*I3))</f>
        <v>0</v>
      </c>
      <c r="O3" s="17">
        <f t="shared" ref="O3:O56" si="4">IF(OR(J3="NA",J3=0),0,(1*J3))</f>
        <v>0</v>
      </c>
      <c r="P3" s="18">
        <f t="shared" ref="P3:P56" si="5">IF(OR(K3="NA",K3=0),0,(1*K3))</f>
        <v>0</v>
      </c>
      <c r="T3" s="15"/>
      <c r="U3" s="16">
        <v>98.13</v>
      </c>
      <c r="V3" s="12"/>
      <c r="W3" s="17"/>
      <c r="X3" s="18"/>
    </row>
    <row r="4" spans="1:24" x14ac:dyDescent="0.25">
      <c r="A4" s="132"/>
      <c r="B4" s="127"/>
      <c r="C4" s="106"/>
      <c r="D4" s="106"/>
      <c r="E4" s="88" t="s">
        <v>13</v>
      </c>
      <c r="F4" s="89"/>
      <c r="G4" s="15"/>
      <c r="H4" s="16">
        <v>98.19</v>
      </c>
      <c r="I4" s="12"/>
      <c r="J4" s="17"/>
      <c r="K4" s="18"/>
      <c r="L4" s="10">
        <f t="shared" si="1"/>
        <v>0</v>
      </c>
      <c r="M4" s="16">
        <f t="shared" si="2"/>
        <v>98.19</v>
      </c>
      <c r="N4" s="12">
        <f t="shared" si="3"/>
        <v>0</v>
      </c>
      <c r="O4" s="17">
        <f t="shared" si="4"/>
        <v>0</v>
      </c>
      <c r="P4" s="18">
        <f t="shared" si="5"/>
        <v>0</v>
      </c>
      <c r="T4" s="15"/>
      <c r="U4" s="16">
        <v>98.19</v>
      </c>
      <c r="V4" s="12"/>
      <c r="W4" s="17"/>
      <c r="X4" s="18"/>
    </row>
    <row r="5" spans="1:24" x14ac:dyDescent="0.25">
      <c r="A5" s="130" t="s">
        <v>129</v>
      </c>
      <c r="B5" s="125">
        <v>2</v>
      </c>
      <c r="C5" s="93" t="s">
        <v>14</v>
      </c>
      <c r="D5" s="93" t="s">
        <v>15</v>
      </c>
      <c r="E5" s="137" t="s">
        <v>11</v>
      </c>
      <c r="F5" s="138"/>
      <c r="G5" s="15"/>
      <c r="H5" s="11"/>
      <c r="I5" s="12"/>
      <c r="J5" s="13">
        <v>100</v>
      </c>
      <c r="K5" s="18"/>
      <c r="L5" s="10">
        <f t="shared" si="1"/>
        <v>0</v>
      </c>
      <c r="M5" s="11">
        <f t="shared" si="2"/>
        <v>0</v>
      </c>
      <c r="N5" s="12">
        <f t="shared" si="3"/>
        <v>0</v>
      </c>
      <c r="O5" s="13">
        <f t="shared" si="4"/>
        <v>100</v>
      </c>
      <c r="P5" s="18">
        <f t="shared" si="5"/>
        <v>0</v>
      </c>
      <c r="T5" s="15"/>
      <c r="U5" s="11"/>
      <c r="V5" s="12"/>
      <c r="W5" s="13">
        <v>100</v>
      </c>
      <c r="X5" s="18"/>
    </row>
    <row r="6" spans="1:24" x14ac:dyDescent="0.25">
      <c r="A6" s="131"/>
      <c r="B6" s="126"/>
      <c r="C6" s="94"/>
      <c r="D6" s="94"/>
      <c r="E6" s="86" t="s">
        <v>16</v>
      </c>
      <c r="F6" s="87"/>
      <c r="G6" s="10">
        <v>100</v>
      </c>
      <c r="H6" s="16">
        <v>100</v>
      </c>
      <c r="I6" s="12"/>
      <c r="J6" s="17"/>
      <c r="K6" s="14">
        <v>96.17</v>
      </c>
      <c r="L6" s="10">
        <f t="shared" si="1"/>
        <v>100</v>
      </c>
      <c r="M6" s="16">
        <f t="shared" si="2"/>
        <v>100</v>
      </c>
      <c r="N6" s="12">
        <f t="shared" si="3"/>
        <v>0</v>
      </c>
      <c r="O6" s="17">
        <f t="shared" si="4"/>
        <v>0</v>
      </c>
      <c r="P6" s="14">
        <f t="shared" si="5"/>
        <v>96.17</v>
      </c>
      <c r="T6" s="10">
        <v>100</v>
      </c>
      <c r="U6" s="16">
        <v>100</v>
      </c>
      <c r="V6" s="12"/>
      <c r="W6" s="17"/>
      <c r="X6" s="14">
        <v>96.17</v>
      </c>
    </row>
    <row r="7" spans="1:24" x14ac:dyDescent="0.25">
      <c r="A7" s="131"/>
      <c r="B7" s="126"/>
      <c r="C7" s="94"/>
      <c r="D7" s="94"/>
      <c r="E7" s="88" t="s">
        <v>13</v>
      </c>
      <c r="F7" s="89"/>
      <c r="G7" s="25" t="s">
        <v>45</v>
      </c>
      <c r="H7" s="16">
        <v>100</v>
      </c>
      <c r="I7" s="12"/>
      <c r="J7" s="17"/>
      <c r="K7" s="14">
        <v>100</v>
      </c>
      <c r="L7" s="10">
        <f t="shared" si="1"/>
        <v>0</v>
      </c>
      <c r="M7" s="16">
        <f t="shared" si="2"/>
        <v>100</v>
      </c>
      <c r="N7" s="12">
        <f t="shared" si="3"/>
        <v>0</v>
      </c>
      <c r="O7" s="17">
        <f t="shared" si="4"/>
        <v>0</v>
      </c>
      <c r="P7" s="14">
        <f t="shared" si="5"/>
        <v>100</v>
      </c>
      <c r="T7" s="25" t="s">
        <v>45</v>
      </c>
      <c r="U7" s="16">
        <v>100</v>
      </c>
      <c r="V7" s="12"/>
      <c r="W7" s="17"/>
      <c r="X7" s="14">
        <v>100</v>
      </c>
    </row>
    <row r="8" spans="1:24" x14ac:dyDescent="0.25">
      <c r="A8" s="132"/>
      <c r="B8" s="127"/>
      <c r="C8" s="95"/>
      <c r="D8" s="95"/>
      <c r="E8" s="88" t="s">
        <v>17</v>
      </c>
      <c r="F8" s="89"/>
      <c r="G8" s="10">
        <v>100</v>
      </c>
      <c r="H8" s="11"/>
      <c r="I8" s="12"/>
      <c r="J8" s="17"/>
      <c r="K8" s="14">
        <v>100</v>
      </c>
      <c r="L8" s="10">
        <f t="shared" si="1"/>
        <v>100</v>
      </c>
      <c r="M8" s="11">
        <f t="shared" si="2"/>
        <v>0</v>
      </c>
      <c r="N8" s="12">
        <f t="shared" si="3"/>
        <v>0</v>
      </c>
      <c r="O8" s="17">
        <f t="shared" si="4"/>
        <v>0</v>
      </c>
      <c r="P8" s="14">
        <f t="shared" si="5"/>
        <v>100</v>
      </c>
      <c r="T8" s="10">
        <v>100</v>
      </c>
      <c r="U8" s="11"/>
      <c r="V8" s="12"/>
      <c r="W8" s="17"/>
      <c r="X8" s="14">
        <v>100</v>
      </c>
    </row>
    <row r="9" spans="1:24" x14ac:dyDescent="0.25">
      <c r="A9" s="130" t="s">
        <v>129</v>
      </c>
      <c r="B9" s="125">
        <v>3</v>
      </c>
      <c r="C9" s="93" t="s">
        <v>18</v>
      </c>
      <c r="D9" s="93" t="s">
        <v>19</v>
      </c>
      <c r="E9" s="137" t="s">
        <v>11</v>
      </c>
      <c r="F9" s="138"/>
      <c r="G9" s="15"/>
      <c r="H9" s="11"/>
      <c r="I9" s="12"/>
      <c r="J9" s="13">
        <v>100</v>
      </c>
      <c r="K9" s="18"/>
      <c r="L9" s="10">
        <f t="shared" si="1"/>
        <v>0</v>
      </c>
      <c r="M9" s="11">
        <f t="shared" si="2"/>
        <v>0</v>
      </c>
      <c r="N9" s="12">
        <f t="shared" si="3"/>
        <v>0</v>
      </c>
      <c r="O9" s="13">
        <f t="shared" si="4"/>
        <v>100</v>
      </c>
      <c r="P9" s="18">
        <f t="shared" si="5"/>
        <v>0</v>
      </c>
      <c r="T9" s="15"/>
      <c r="U9" s="11"/>
      <c r="V9" s="12"/>
      <c r="W9" s="13">
        <v>100</v>
      </c>
      <c r="X9" s="18"/>
    </row>
    <row r="10" spans="1:24" x14ac:dyDescent="0.25">
      <c r="A10" s="131"/>
      <c r="B10" s="126"/>
      <c r="C10" s="94"/>
      <c r="D10" s="94"/>
      <c r="E10" s="19" t="s">
        <v>16</v>
      </c>
      <c r="F10" s="26"/>
      <c r="G10" s="10">
        <v>100</v>
      </c>
      <c r="H10" s="16">
        <v>100</v>
      </c>
      <c r="I10" s="12"/>
      <c r="J10" s="17"/>
      <c r="K10" s="14">
        <v>99</v>
      </c>
      <c r="L10" s="10">
        <f t="shared" si="1"/>
        <v>100</v>
      </c>
      <c r="M10" s="16">
        <f t="shared" si="2"/>
        <v>100</v>
      </c>
      <c r="N10" s="12">
        <f t="shared" si="3"/>
        <v>0</v>
      </c>
      <c r="O10" s="17">
        <f t="shared" si="4"/>
        <v>0</v>
      </c>
      <c r="P10" s="14">
        <f t="shared" si="5"/>
        <v>99</v>
      </c>
      <c r="T10" s="10">
        <v>100</v>
      </c>
      <c r="U10" s="16">
        <v>100</v>
      </c>
      <c r="V10" s="12"/>
      <c r="W10" s="17"/>
      <c r="X10" s="14">
        <v>99</v>
      </c>
    </row>
    <row r="11" spans="1:24" x14ac:dyDescent="0.25">
      <c r="A11" s="131"/>
      <c r="B11" s="126"/>
      <c r="C11" s="94"/>
      <c r="D11" s="94"/>
      <c r="E11" s="19" t="s">
        <v>13</v>
      </c>
      <c r="F11" s="26"/>
      <c r="G11" s="25" t="s">
        <v>45</v>
      </c>
      <c r="H11" s="16">
        <v>100</v>
      </c>
      <c r="I11" s="12"/>
      <c r="J11" s="17"/>
      <c r="K11" s="14">
        <v>99.17</v>
      </c>
      <c r="L11" s="10">
        <f t="shared" si="1"/>
        <v>0</v>
      </c>
      <c r="M11" s="16">
        <f t="shared" si="2"/>
        <v>100</v>
      </c>
      <c r="N11" s="12">
        <f t="shared" si="3"/>
        <v>0</v>
      </c>
      <c r="O11" s="17">
        <f t="shared" si="4"/>
        <v>0</v>
      </c>
      <c r="P11" s="14">
        <f t="shared" si="5"/>
        <v>99.17</v>
      </c>
      <c r="T11" s="25" t="s">
        <v>45</v>
      </c>
      <c r="U11" s="16">
        <v>100</v>
      </c>
      <c r="V11" s="12"/>
      <c r="W11" s="17"/>
      <c r="X11" s="14">
        <v>99.17</v>
      </c>
    </row>
    <row r="12" spans="1:24" x14ac:dyDescent="0.25">
      <c r="A12" s="132"/>
      <c r="B12" s="127"/>
      <c r="C12" s="95"/>
      <c r="D12" s="95"/>
      <c r="E12" s="19" t="s">
        <v>17</v>
      </c>
      <c r="F12" s="26"/>
      <c r="G12" s="10">
        <v>100</v>
      </c>
      <c r="H12" s="11"/>
      <c r="I12" s="12"/>
      <c r="J12" s="17"/>
      <c r="K12" s="14">
        <v>100</v>
      </c>
      <c r="L12" s="10">
        <f t="shared" si="1"/>
        <v>100</v>
      </c>
      <c r="M12" s="11">
        <f t="shared" si="2"/>
        <v>0</v>
      </c>
      <c r="N12" s="12">
        <f t="shared" si="3"/>
        <v>0</v>
      </c>
      <c r="O12" s="17">
        <f t="shared" si="4"/>
        <v>0</v>
      </c>
      <c r="P12" s="14">
        <f t="shared" si="5"/>
        <v>100</v>
      </c>
      <c r="T12" s="10">
        <v>100</v>
      </c>
      <c r="U12" s="11"/>
      <c r="V12" s="12"/>
      <c r="W12" s="17"/>
      <c r="X12" s="14">
        <v>100</v>
      </c>
    </row>
    <row r="13" spans="1:24" x14ac:dyDescent="0.25">
      <c r="A13" s="130" t="s">
        <v>129</v>
      </c>
      <c r="B13" s="125">
        <v>4</v>
      </c>
      <c r="C13" s="96" t="s">
        <v>20</v>
      </c>
      <c r="D13" s="99" t="s">
        <v>21</v>
      </c>
      <c r="E13" s="21" t="s">
        <v>22</v>
      </c>
      <c r="F13" s="19" t="s">
        <v>23</v>
      </c>
      <c r="G13" s="15"/>
      <c r="H13" s="11"/>
      <c r="I13" s="12"/>
      <c r="J13" s="17"/>
      <c r="K13" s="18"/>
      <c r="L13" s="10">
        <f t="shared" si="1"/>
        <v>0</v>
      </c>
      <c r="M13" s="11">
        <f t="shared" si="2"/>
        <v>0</v>
      </c>
      <c r="N13" s="12">
        <f t="shared" si="3"/>
        <v>0</v>
      </c>
      <c r="O13" s="17">
        <f t="shared" si="4"/>
        <v>0</v>
      </c>
      <c r="P13" s="18">
        <f t="shared" si="5"/>
        <v>0</v>
      </c>
      <c r="T13" s="15"/>
      <c r="U13" s="11"/>
      <c r="V13" s="12"/>
      <c r="W13" s="17"/>
      <c r="X13" s="18"/>
    </row>
    <row r="14" spans="1:24" x14ac:dyDescent="0.25">
      <c r="A14" s="131"/>
      <c r="B14" s="126"/>
      <c r="C14" s="97"/>
      <c r="D14" s="100"/>
      <c r="E14" s="8" t="s">
        <v>12</v>
      </c>
      <c r="F14" s="19" t="s">
        <v>23</v>
      </c>
      <c r="G14" s="10">
        <v>145.87</v>
      </c>
      <c r="H14" s="11"/>
      <c r="I14" s="12"/>
      <c r="J14" s="17"/>
      <c r="K14" s="14">
        <v>76</v>
      </c>
      <c r="L14" s="10">
        <f t="shared" si="1"/>
        <v>145.87</v>
      </c>
      <c r="M14" s="11">
        <f t="shared" si="2"/>
        <v>0</v>
      </c>
      <c r="N14" s="12">
        <f t="shared" si="3"/>
        <v>0</v>
      </c>
      <c r="O14" s="17">
        <f t="shared" si="4"/>
        <v>0</v>
      </c>
      <c r="P14" s="14">
        <f t="shared" si="5"/>
        <v>76</v>
      </c>
      <c r="T14" s="10">
        <v>145.87</v>
      </c>
      <c r="U14" s="11"/>
      <c r="V14" s="12"/>
      <c r="W14" s="17"/>
      <c r="X14" s="14">
        <v>76</v>
      </c>
    </row>
    <row r="15" spans="1:24" ht="20.399999999999999" x14ac:dyDescent="0.25">
      <c r="A15" s="131"/>
      <c r="B15" s="126"/>
      <c r="C15" s="97"/>
      <c r="D15" s="100"/>
      <c r="E15" s="93" t="s">
        <v>13</v>
      </c>
      <c r="F15" s="19" t="s">
        <v>23</v>
      </c>
      <c r="G15" s="25" t="s">
        <v>45</v>
      </c>
      <c r="H15" s="24">
        <v>1165</v>
      </c>
      <c r="I15" s="12"/>
      <c r="J15" s="17"/>
      <c r="K15" s="14">
        <v>2352.42</v>
      </c>
      <c r="L15" s="10">
        <f t="shared" si="1"/>
        <v>0</v>
      </c>
      <c r="M15" s="24">
        <f t="shared" si="2"/>
        <v>1165</v>
      </c>
      <c r="N15" s="12">
        <f t="shared" si="3"/>
        <v>0</v>
      </c>
      <c r="O15" s="17">
        <f t="shared" si="4"/>
        <v>0</v>
      </c>
      <c r="P15" s="14">
        <f t="shared" si="5"/>
        <v>2352.42</v>
      </c>
      <c r="T15" s="25" t="s">
        <v>45</v>
      </c>
      <c r="U15" s="24" t="s">
        <v>66</v>
      </c>
      <c r="V15" s="12"/>
      <c r="W15" s="17"/>
      <c r="X15" s="14">
        <v>2352.42</v>
      </c>
    </row>
    <row r="16" spans="1:24" ht="20.399999999999999" x14ac:dyDescent="0.25">
      <c r="A16" s="131"/>
      <c r="B16" s="126"/>
      <c r="C16" s="97"/>
      <c r="D16" s="100"/>
      <c r="E16" s="94"/>
      <c r="F16" s="120"/>
      <c r="G16" s="15"/>
      <c r="H16" s="24">
        <v>1314</v>
      </c>
      <c r="I16" s="12"/>
      <c r="J16" s="17"/>
      <c r="K16" s="18"/>
      <c r="L16" s="10">
        <f t="shared" si="1"/>
        <v>0</v>
      </c>
      <c r="M16" s="24">
        <f t="shared" si="2"/>
        <v>1314</v>
      </c>
      <c r="N16" s="12">
        <f t="shared" si="3"/>
        <v>0</v>
      </c>
      <c r="O16" s="17">
        <f t="shared" si="4"/>
        <v>0</v>
      </c>
      <c r="P16" s="18">
        <f t="shared" si="5"/>
        <v>0</v>
      </c>
      <c r="T16" s="15"/>
      <c r="U16" s="24" t="s">
        <v>67</v>
      </c>
      <c r="V16" s="12"/>
      <c r="W16" s="17"/>
      <c r="X16" s="18"/>
    </row>
    <row r="17" spans="1:24" ht="20.399999999999999" x14ac:dyDescent="0.25">
      <c r="A17" s="131"/>
      <c r="B17" s="126"/>
      <c r="C17" s="97"/>
      <c r="D17" s="100"/>
      <c r="E17" s="94"/>
      <c r="F17" s="121"/>
      <c r="G17" s="15"/>
      <c r="H17" s="24">
        <v>1351</v>
      </c>
      <c r="I17" s="12"/>
      <c r="J17" s="17"/>
      <c r="K17" s="18"/>
      <c r="L17" s="10">
        <f t="shared" si="1"/>
        <v>0</v>
      </c>
      <c r="M17" s="24">
        <f t="shared" si="2"/>
        <v>1351</v>
      </c>
      <c r="N17" s="12">
        <f t="shared" si="3"/>
        <v>0</v>
      </c>
      <c r="O17" s="17">
        <f t="shared" si="4"/>
        <v>0</v>
      </c>
      <c r="P17" s="18">
        <f t="shared" si="5"/>
        <v>0</v>
      </c>
      <c r="T17" s="15"/>
      <c r="U17" s="24" t="s">
        <v>68</v>
      </c>
      <c r="V17" s="12"/>
      <c r="W17" s="17"/>
      <c r="X17" s="18"/>
    </row>
    <row r="18" spans="1:24" ht="20.399999999999999" x14ac:dyDescent="0.25">
      <c r="A18" s="131"/>
      <c r="B18" s="126"/>
      <c r="C18" s="97"/>
      <c r="D18" s="100"/>
      <c r="E18" s="94"/>
      <c r="F18" s="121"/>
      <c r="G18" s="15"/>
      <c r="H18" s="24">
        <v>1482</v>
      </c>
      <c r="I18" s="12"/>
      <c r="J18" s="17"/>
      <c r="K18" s="18"/>
      <c r="L18" s="10">
        <f t="shared" si="1"/>
        <v>0</v>
      </c>
      <c r="M18" s="24">
        <f t="shared" si="2"/>
        <v>1482</v>
      </c>
      <c r="N18" s="12">
        <f t="shared" si="3"/>
        <v>0</v>
      </c>
      <c r="O18" s="17">
        <f t="shared" si="4"/>
        <v>0</v>
      </c>
      <c r="P18" s="18">
        <f t="shared" si="5"/>
        <v>0</v>
      </c>
      <c r="T18" s="15"/>
      <c r="U18" s="24" t="s">
        <v>69</v>
      </c>
      <c r="V18" s="12"/>
      <c r="W18" s="17"/>
      <c r="X18" s="18"/>
    </row>
    <row r="19" spans="1:24" ht="20.399999999999999" x14ac:dyDescent="0.25">
      <c r="A19" s="131"/>
      <c r="B19" s="126"/>
      <c r="C19" s="97"/>
      <c r="D19" s="100"/>
      <c r="E19" s="94"/>
      <c r="F19" s="121"/>
      <c r="G19" s="15"/>
      <c r="H19" s="24">
        <v>1652</v>
      </c>
      <c r="I19" s="12"/>
      <c r="J19" s="17"/>
      <c r="K19" s="18"/>
      <c r="L19" s="10">
        <f t="shared" si="1"/>
        <v>0</v>
      </c>
      <c r="M19" s="24">
        <f t="shared" si="2"/>
        <v>1652</v>
      </c>
      <c r="N19" s="12">
        <f t="shared" si="3"/>
        <v>0</v>
      </c>
      <c r="O19" s="17">
        <f t="shared" si="4"/>
        <v>0</v>
      </c>
      <c r="P19" s="18">
        <f t="shared" si="5"/>
        <v>0</v>
      </c>
      <c r="T19" s="15"/>
      <c r="U19" s="24" t="s">
        <v>70</v>
      </c>
      <c r="V19" s="12"/>
      <c r="W19" s="17"/>
      <c r="X19" s="18"/>
    </row>
    <row r="20" spans="1:24" ht="20.399999999999999" x14ac:dyDescent="0.25">
      <c r="A20" s="131"/>
      <c r="B20" s="126"/>
      <c r="C20" s="97"/>
      <c r="D20" s="100"/>
      <c r="E20" s="94"/>
      <c r="F20" s="121"/>
      <c r="G20" s="15"/>
      <c r="H20" s="24">
        <v>1172</v>
      </c>
      <c r="I20" s="12"/>
      <c r="J20" s="17"/>
      <c r="K20" s="18"/>
      <c r="L20" s="10">
        <f t="shared" si="1"/>
        <v>0</v>
      </c>
      <c r="M20" s="24">
        <f t="shared" si="2"/>
        <v>1172</v>
      </c>
      <c r="N20" s="12">
        <f t="shared" si="3"/>
        <v>0</v>
      </c>
      <c r="O20" s="17">
        <f t="shared" si="4"/>
        <v>0</v>
      </c>
      <c r="P20" s="18">
        <f t="shared" si="5"/>
        <v>0</v>
      </c>
      <c r="T20" s="15"/>
      <c r="U20" s="24" t="s">
        <v>71</v>
      </c>
      <c r="V20" s="12"/>
      <c r="W20" s="17"/>
      <c r="X20" s="18"/>
    </row>
    <row r="21" spans="1:24" ht="20.399999999999999" x14ac:dyDescent="0.25">
      <c r="A21" s="131"/>
      <c r="B21" s="126"/>
      <c r="C21" s="97"/>
      <c r="D21" s="100"/>
      <c r="E21" s="94"/>
      <c r="F21" s="121"/>
      <c r="G21" s="15"/>
      <c r="H21" s="24">
        <v>1268</v>
      </c>
      <c r="I21" s="12"/>
      <c r="J21" s="17"/>
      <c r="K21" s="18"/>
      <c r="L21" s="10">
        <f t="shared" si="1"/>
        <v>0</v>
      </c>
      <c r="M21" s="24">
        <f t="shared" si="2"/>
        <v>1268</v>
      </c>
      <c r="N21" s="12">
        <f t="shared" si="3"/>
        <v>0</v>
      </c>
      <c r="O21" s="17">
        <f t="shared" si="4"/>
        <v>0</v>
      </c>
      <c r="P21" s="18">
        <f t="shared" si="5"/>
        <v>0</v>
      </c>
      <c r="T21" s="15"/>
      <c r="U21" s="24" t="s">
        <v>72</v>
      </c>
      <c r="V21" s="12"/>
      <c r="W21" s="17"/>
      <c r="X21" s="18"/>
    </row>
    <row r="22" spans="1:24" ht="20.399999999999999" x14ac:dyDescent="0.25">
      <c r="A22" s="131"/>
      <c r="B22" s="126"/>
      <c r="C22" s="97"/>
      <c r="D22" s="100"/>
      <c r="E22" s="94"/>
      <c r="F22" s="121"/>
      <c r="G22" s="15"/>
      <c r="H22" s="24">
        <v>1255</v>
      </c>
      <c r="I22" s="12"/>
      <c r="J22" s="17"/>
      <c r="K22" s="18"/>
      <c r="L22" s="10">
        <f t="shared" si="1"/>
        <v>0</v>
      </c>
      <c r="M22" s="24">
        <f t="shared" si="2"/>
        <v>1255</v>
      </c>
      <c r="N22" s="12">
        <f t="shared" si="3"/>
        <v>0</v>
      </c>
      <c r="O22" s="17">
        <f t="shared" si="4"/>
        <v>0</v>
      </c>
      <c r="P22" s="18">
        <f t="shared" si="5"/>
        <v>0</v>
      </c>
      <c r="T22" s="15"/>
      <c r="U22" s="24" t="s">
        <v>73</v>
      </c>
      <c r="V22" s="12"/>
      <c r="W22" s="17"/>
      <c r="X22" s="18"/>
    </row>
    <row r="23" spans="1:24" ht="20.399999999999999" x14ac:dyDescent="0.25">
      <c r="A23" s="131"/>
      <c r="B23" s="126"/>
      <c r="C23" s="97"/>
      <c r="D23" s="100"/>
      <c r="E23" s="94"/>
      <c r="F23" s="121"/>
      <c r="G23" s="15"/>
      <c r="H23" s="24">
        <v>2574</v>
      </c>
      <c r="I23" s="12"/>
      <c r="J23" s="17"/>
      <c r="K23" s="18"/>
      <c r="L23" s="10">
        <f t="shared" si="1"/>
        <v>0</v>
      </c>
      <c r="M23" s="24">
        <f t="shared" si="2"/>
        <v>2574</v>
      </c>
      <c r="N23" s="12">
        <f t="shared" si="3"/>
        <v>0</v>
      </c>
      <c r="O23" s="17">
        <f t="shared" si="4"/>
        <v>0</v>
      </c>
      <c r="P23" s="18">
        <f t="shared" si="5"/>
        <v>0</v>
      </c>
      <c r="T23" s="15"/>
      <c r="U23" s="24" t="s">
        <v>74</v>
      </c>
      <c r="V23" s="12"/>
      <c r="W23" s="17"/>
      <c r="X23" s="18"/>
    </row>
    <row r="24" spans="1:24" ht="20.399999999999999" x14ac:dyDescent="0.25">
      <c r="A24" s="131"/>
      <c r="B24" s="126"/>
      <c r="C24" s="97"/>
      <c r="D24" s="100"/>
      <c r="E24" s="94"/>
      <c r="F24" s="121"/>
      <c r="G24" s="15"/>
      <c r="H24" s="24">
        <v>2852</v>
      </c>
      <c r="I24" s="12"/>
      <c r="J24" s="17"/>
      <c r="K24" s="18"/>
      <c r="L24" s="10">
        <f t="shared" si="1"/>
        <v>0</v>
      </c>
      <c r="M24" s="24">
        <f t="shared" si="2"/>
        <v>2852</v>
      </c>
      <c r="N24" s="12">
        <f t="shared" si="3"/>
        <v>0</v>
      </c>
      <c r="O24" s="17">
        <f t="shared" si="4"/>
        <v>0</v>
      </c>
      <c r="P24" s="18">
        <f t="shared" si="5"/>
        <v>0</v>
      </c>
      <c r="T24" s="15"/>
      <c r="U24" s="24" t="s">
        <v>75</v>
      </c>
      <c r="V24" s="12"/>
      <c r="W24" s="17"/>
      <c r="X24" s="18"/>
    </row>
    <row r="25" spans="1:24" ht="20.399999999999999" x14ac:dyDescent="0.25">
      <c r="A25" s="131"/>
      <c r="B25" s="126"/>
      <c r="C25" s="97"/>
      <c r="D25" s="100"/>
      <c r="E25" s="94"/>
      <c r="F25" s="121"/>
      <c r="G25" s="15"/>
      <c r="H25" s="24">
        <v>3248</v>
      </c>
      <c r="I25" s="12"/>
      <c r="J25" s="17"/>
      <c r="K25" s="18"/>
      <c r="L25" s="10">
        <f t="shared" si="1"/>
        <v>0</v>
      </c>
      <c r="M25" s="24">
        <f t="shared" si="2"/>
        <v>3248</v>
      </c>
      <c r="N25" s="12">
        <f t="shared" si="3"/>
        <v>0</v>
      </c>
      <c r="O25" s="17">
        <f t="shared" si="4"/>
        <v>0</v>
      </c>
      <c r="P25" s="18">
        <f t="shared" si="5"/>
        <v>0</v>
      </c>
      <c r="T25" s="15"/>
      <c r="U25" s="24" t="s">
        <v>76</v>
      </c>
      <c r="V25" s="12"/>
      <c r="W25" s="17"/>
      <c r="X25" s="18"/>
    </row>
    <row r="26" spans="1:24" ht="20.399999999999999" x14ac:dyDescent="0.25">
      <c r="A26" s="131"/>
      <c r="B26" s="126"/>
      <c r="C26" s="97"/>
      <c r="D26" s="100"/>
      <c r="E26" s="94"/>
      <c r="F26" s="121"/>
      <c r="G26" s="15"/>
      <c r="H26" s="24">
        <v>3764</v>
      </c>
      <c r="I26" s="12"/>
      <c r="J26" s="17"/>
      <c r="K26" s="18"/>
      <c r="L26" s="10">
        <f t="shared" si="1"/>
        <v>0</v>
      </c>
      <c r="M26" s="24">
        <f t="shared" si="2"/>
        <v>3764</v>
      </c>
      <c r="N26" s="12">
        <f t="shared" si="3"/>
        <v>0</v>
      </c>
      <c r="O26" s="17">
        <f t="shared" si="4"/>
        <v>0</v>
      </c>
      <c r="P26" s="18">
        <f t="shared" si="5"/>
        <v>0</v>
      </c>
      <c r="T26" s="15"/>
      <c r="U26" s="24" t="s">
        <v>77</v>
      </c>
      <c r="V26" s="12"/>
      <c r="W26" s="17"/>
      <c r="X26" s="18"/>
    </row>
    <row r="27" spans="1:24" ht="20.399999999999999" x14ac:dyDescent="0.25">
      <c r="A27" s="131"/>
      <c r="B27" s="126"/>
      <c r="C27" s="97"/>
      <c r="D27" s="100"/>
      <c r="E27" s="95"/>
      <c r="F27" s="122"/>
      <c r="G27" s="15"/>
      <c r="H27" s="24">
        <v>3849</v>
      </c>
      <c r="I27" s="12"/>
      <c r="J27" s="17"/>
      <c r="K27" s="18"/>
      <c r="L27" s="10">
        <f t="shared" si="1"/>
        <v>0</v>
      </c>
      <c r="M27" s="24">
        <f t="shared" si="2"/>
        <v>3849</v>
      </c>
      <c r="N27" s="12">
        <f t="shared" si="3"/>
        <v>0</v>
      </c>
      <c r="O27" s="17">
        <f t="shared" si="4"/>
        <v>0</v>
      </c>
      <c r="P27" s="18">
        <f t="shared" si="5"/>
        <v>0</v>
      </c>
      <c r="T27" s="15"/>
      <c r="U27" s="24" t="s">
        <v>78</v>
      </c>
      <c r="V27" s="12"/>
      <c r="W27" s="17"/>
      <c r="X27" s="18"/>
    </row>
    <row r="28" spans="1:24" x14ac:dyDescent="0.25">
      <c r="A28" s="132"/>
      <c r="B28" s="127"/>
      <c r="C28" s="98"/>
      <c r="D28" s="101"/>
      <c r="E28" s="8" t="s">
        <v>17</v>
      </c>
      <c r="F28" s="19" t="s">
        <v>24</v>
      </c>
      <c r="G28" s="10">
        <v>8172.85</v>
      </c>
      <c r="H28" s="11"/>
      <c r="I28" s="12"/>
      <c r="J28" s="13">
        <v>9387.2800000000007</v>
      </c>
      <c r="K28" s="14">
        <v>8585.7099999999991</v>
      </c>
      <c r="L28" s="10">
        <f t="shared" si="1"/>
        <v>8172.85</v>
      </c>
      <c r="M28" s="11">
        <f t="shared" si="2"/>
        <v>0</v>
      </c>
      <c r="N28" s="12">
        <f t="shared" si="3"/>
        <v>0</v>
      </c>
      <c r="O28" s="13">
        <f t="shared" si="4"/>
        <v>9387.2800000000007</v>
      </c>
      <c r="P28" s="14">
        <f t="shared" si="5"/>
        <v>8585.7099999999991</v>
      </c>
      <c r="T28" s="10">
        <v>8172.85</v>
      </c>
      <c r="U28" s="11"/>
      <c r="V28" s="12"/>
      <c r="W28" s="13">
        <v>9387.2800000000007</v>
      </c>
      <c r="X28" s="14">
        <v>8585.7099999999991</v>
      </c>
    </row>
    <row r="29" spans="1:24" ht="13.2" customHeight="1" x14ac:dyDescent="0.25">
      <c r="A29" s="108" t="s">
        <v>129</v>
      </c>
      <c r="B29" s="134">
        <v>5</v>
      </c>
      <c r="C29" s="93" t="s">
        <v>25</v>
      </c>
      <c r="D29" s="93" t="s">
        <v>26</v>
      </c>
      <c r="E29" s="21" t="s">
        <v>22</v>
      </c>
      <c r="F29" s="19" t="s">
        <v>23</v>
      </c>
      <c r="G29" s="15"/>
      <c r="H29" s="11"/>
      <c r="I29" s="12"/>
      <c r="J29" s="17"/>
      <c r="K29" s="18"/>
      <c r="L29" s="10">
        <f t="shared" si="1"/>
        <v>0</v>
      </c>
      <c r="M29" s="11">
        <f t="shared" si="2"/>
        <v>0</v>
      </c>
      <c r="N29" s="12">
        <f t="shared" si="3"/>
        <v>0</v>
      </c>
      <c r="O29" s="17">
        <f t="shared" si="4"/>
        <v>0</v>
      </c>
      <c r="P29" s="18">
        <f t="shared" si="5"/>
        <v>0</v>
      </c>
      <c r="T29" s="15"/>
      <c r="U29" s="11"/>
      <c r="V29" s="12"/>
      <c r="W29" s="17"/>
      <c r="X29" s="18"/>
    </row>
    <row r="30" spans="1:24" x14ac:dyDescent="0.25">
      <c r="A30" s="108"/>
      <c r="B30" s="135"/>
      <c r="C30" s="94"/>
      <c r="D30" s="94"/>
      <c r="E30" s="8" t="s">
        <v>12</v>
      </c>
      <c r="F30" s="19" t="s">
        <v>23</v>
      </c>
      <c r="G30" s="10">
        <v>219.2</v>
      </c>
      <c r="H30" s="11"/>
      <c r="I30" s="12"/>
      <c r="J30" s="17"/>
      <c r="K30" s="14">
        <v>189.86</v>
      </c>
      <c r="L30" s="10">
        <f t="shared" si="1"/>
        <v>219.2</v>
      </c>
      <c r="M30" s="11">
        <f t="shared" si="2"/>
        <v>0</v>
      </c>
      <c r="N30" s="12">
        <f t="shared" si="3"/>
        <v>0</v>
      </c>
      <c r="O30" s="17">
        <f t="shared" si="4"/>
        <v>0</v>
      </c>
      <c r="P30" s="14">
        <f t="shared" si="5"/>
        <v>189.86</v>
      </c>
      <c r="T30" s="10">
        <v>219.2</v>
      </c>
      <c r="U30" s="11"/>
      <c r="V30" s="12"/>
      <c r="W30" s="17"/>
      <c r="X30" s="14">
        <v>189.86</v>
      </c>
    </row>
    <row r="31" spans="1:24" ht="20.399999999999999" x14ac:dyDescent="0.25">
      <c r="A31" s="108"/>
      <c r="B31" s="135"/>
      <c r="C31" s="94"/>
      <c r="D31" s="94"/>
      <c r="E31" s="9" t="s">
        <v>13</v>
      </c>
      <c r="F31" s="20" t="s">
        <v>23</v>
      </c>
      <c r="G31" s="25" t="s">
        <v>45</v>
      </c>
      <c r="H31" s="24">
        <v>2512</v>
      </c>
      <c r="I31" s="12"/>
      <c r="J31" s="17"/>
      <c r="K31" s="14">
        <v>4837.5200000000004</v>
      </c>
      <c r="L31" s="10">
        <f t="shared" si="1"/>
        <v>0</v>
      </c>
      <c r="M31" s="24">
        <f t="shared" si="2"/>
        <v>2512</v>
      </c>
      <c r="N31" s="12">
        <f t="shared" si="3"/>
        <v>0</v>
      </c>
      <c r="O31" s="17">
        <f t="shared" si="4"/>
        <v>0</v>
      </c>
      <c r="P31" s="14">
        <f t="shared" si="5"/>
        <v>4837.5200000000004</v>
      </c>
      <c r="T31" s="25" t="s">
        <v>45</v>
      </c>
      <c r="U31" s="24" t="s">
        <v>79</v>
      </c>
      <c r="V31" s="12"/>
      <c r="W31" s="17"/>
      <c r="X31" s="14">
        <v>4837.5200000000004</v>
      </c>
    </row>
    <row r="32" spans="1:24" ht="20.399999999999999" x14ac:dyDescent="0.25">
      <c r="A32" s="108"/>
      <c r="B32" s="135"/>
      <c r="C32" s="94"/>
      <c r="D32" s="94"/>
      <c r="E32" s="120"/>
      <c r="F32" s="120"/>
      <c r="G32" s="15"/>
      <c r="H32" s="24">
        <v>2881</v>
      </c>
      <c r="I32" s="12"/>
      <c r="J32" s="17"/>
      <c r="K32" s="18"/>
      <c r="L32" s="10">
        <f t="shared" si="1"/>
        <v>0</v>
      </c>
      <c r="M32" s="24">
        <f t="shared" si="2"/>
        <v>2881</v>
      </c>
      <c r="N32" s="12">
        <f t="shared" si="3"/>
        <v>0</v>
      </c>
      <c r="O32" s="17">
        <f t="shared" si="4"/>
        <v>0</v>
      </c>
      <c r="P32" s="18">
        <f t="shared" si="5"/>
        <v>0</v>
      </c>
      <c r="T32" s="15"/>
      <c r="U32" s="24" t="s">
        <v>80</v>
      </c>
      <c r="V32" s="12"/>
      <c r="W32" s="17"/>
      <c r="X32" s="18"/>
    </row>
    <row r="33" spans="1:24" ht="20.399999999999999" x14ac:dyDescent="0.25">
      <c r="A33" s="108"/>
      <c r="B33" s="135"/>
      <c r="C33" s="94"/>
      <c r="D33" s="94"/>
      <c r="E33" s="121"/>
      <c r="F33" s="121"/>
      <c r="G33" s="15"/>
      <c r="H33" s="24">
        <v>3245</v>
      </c>
      <c r="I33" s="12"/>
      <c r="J33" s="17"/>
      <c r="K33" s="18"/>
      <c r="L33" s="10">
        <f t="shared" si="1"/>
        <v>0</v>
      </c>
      <c r="M33" s="24">
        <f t="shared" si="2"/>
        <v>3245</v>
      </c>
      <c r="N33" s="12">
        <f t="shared" si="3"/>
        <v>0</v>
      </c>
      <c r="O33" s="17">
        <f t="shared" si="4"/>
        <v>0</v>
      </c>
      <c r="P33" s="18">
        <f t="shared" si="5"/>
        <v>0</v>
      </c>
      <c r="T33" s="15"/>
      <c r="U33" s="24" t="s">
        <v>81</v>
      </c>
      <c r="V33" s="12"/>
      <c r="W33" s="17"/>
      <c r="X33" s="18"/>
    </row>
    <row r="34" spans="1:24" ht="20.399999999999999" x14ac:dyDescent="0.25">
      <c r="A34" s="108"/>
      <c r="B34" s="135"/>
      <c r="C34" s="94"/>
      <c r="D34" s="94"/>
      <c r="E34" s="121"/>
      <c r="F34" s="121"/>
      <c r="G34" s="15"/>
      <c r="H34" s="24">
        <v>3467</v>
      </c>
      <c r="I34" s="12"/>
      <c r="J34" s="17"/>
      <c r="K34" s="18"/>
      <c r="L34" s="10">
        <f t="shared" si="1"/>
        <v>0</v>
      </c>
      <c r="M34" s="24">
        <f t="shared" si="2"/>
        <v>3467</v>
      </c>
      <c r="N34" s="12">
        <f t="shared" si="3"/>
        <v>0</v>
      </c>
      <c r="O34" s="17">
        <f t="shared" si="4"/>
        <v>0</v>
      </c>
      <c r="P34" s="18">
        <f t="shared" si="5"/>
        <v>0</v>
      </c>
      <c r="T34" s="15"/>
      <c r="U34" s="24" t="s">
        <v>82</v>
      </c>
      <c r="V34" s="12"/>
      <c r="W34" s="17"/>
      <c r="X34" s="18"/>
    </row>
    <row r="35" spans="1:24" ht="20.399999999999999" x14ac:dyDescent="0.25">
      <c r="A35" s="108"/>
      <c r="B35" s="135"/>
      <c r="C35" s="94"/>
      <c r="D35" s="94"/>
      <c r="E35" s="121"/>
      <c r="F35" s="121"/>
      <c r="G35" s="15"/>
      <c r="H35" s="24">
        <v>3842</v>
      </c>
      <c r="I35" s="12"/>
      <c r="J35" s="17"/>
      <c r="K35" s="18"/>
      <c r="L35" s="10">
        <f t="shared" si="1"/>
        <v>0</v>
      </c>
      <c r="M35" s="24">
        <f t="shared" si="2"/>
        <v>3842</v>
      </c>
      <c r="N35" s="12">
        <f t="shared" si="3"/>
        <v>0</v>
      </c>
      <c r="O35" s="17">
        <f t="shared" si="4"/>
        <v>0</v>
      </c>
      <c r="P35" s="18">
        <f t="shared" si="5"/>
        <v>0</v>
      </c>
      <c r="T35" s="15"/>
      <c r="U35" s="24" t="s">
        <v>83</v>
      </c>
      <c r="V35" s="12"/>
      <c r="W35" s="17"/>
      <c r="X35" s="18"/>
    </row>
    <row r="36" spans="1:24" ht="20.399999999999999" x14ac:dyDescent="0.25">
      <c r="A36" s="108"/>
      <c r="B36" s="135"/>
      <c r="C36" s="94"/>
      <c r="D36" s="94"/>
      <c r="E36" s="121"/>
      <c r="F36" s="121"/>
      <c r="G36" s="15"/>
      <c r="H36" s="24">
        <v>3666</v>
      </c>
      <c r="I36" s="12"/>
      <c r="J36" s="17"/>
      <c r="K36" s="18"/>
      <c r="L36" s="10">
        <f t="shared" si="1"/>
        <v>0</v>
      </c>
      <c r="M36" s="24">
        <f t="shared" si="2"/>
        <v>3666</v>
      </c>
      <c r="N36" s="12">
        <f t="shared" si="3"/>
        <v>0</v>
      </c>
      <c r="O36" s="17">
        <f t="shared" si="4"/>
        <v>0</v>
      </c>
      <c r="P36" s="18">
        <f t="shared" si="5"/>
        <v>0</v>
      </c>
      <c r="T36" s="15"/>
      <c r="U36" s="24" t="s">
        <v>84</v>
      </c>
      <c r="V36" s="12"/>
      <c r="W36" s="17"/>
      <c r="X36" s="18"/>
    </row>
    <row r="37" spans="1:24" ht="20.399999999999999" x14ac:dyDescent="0.25">
      <c r="A37" s="108"/>
      <c r="B37" s="135"/>
      <c r="C37" s="94"/>
      <c r="D37" s="94"/>
      <c r="E37" s="121"/>
      <c r="F37" s="121"/>
      <c r="G37" s="15"/>
      <c r="H37" s="24">
        <v>2276</v>
      </c>
      <c r="I37" s="12"/>
      <c r="J37" s="17"/>
      <c r="K37" s="18"/>
      <c r="L37" s="10">
        <f t="shared" si="1"/>
        <v>0</v>
      </c>
      <c r="M37" s="24">
        <f t="shared" si="2"/>
        <v>2276</v>
      </c>
      <c r="N37" s="12">
        <f t="shared" si="3"/>
        <v>0</v>
      </c>
      <c r="O37" s="17">
        <f t="shared" si="4"/>
        <v>0</v>
      </c>
      <c r="P37" s="18">
        <f t="shared" si="5"/>
        <v>0</v>
      </c>
      <c r="T37" s="15"/>
      <c r="U37" s="24" t="s">
        <v>85</v>
      </c>
      <c r="V37" s="12"/>
      <c r="W37" s="17"/>
      <c r="X37" s="18"/>
    </row>
    <row r="38" spans="1:24" ht="20.399999999999999" x14ac:dyDescent="0.25">
      <c r="A38" s="108"/>
      <c r="B38" s="135"/>
      <c r="C38" s="94"/>
      <c r="D38" s="94"/>
      <c r="E38" s="121"/>
      <c r="F38" s="121"/>
      <c r="G38" s="15"/>
      <c r="H38" s="24">
        <v>4564</v>
      </c>
      <c r="I38" s="12"/>
      <c r="J38" s="17"/>
      <c r="K38" s="18"/>
      <c r="L38" s="10">
        <f t="shared" si="1"/>
        <v>0</v>
      </c>
      <c r="M38" s="24">
        <f t="shared" si="2"/>
        <v>4564</v>
      </c>
      <c r="N38" s="12">
        <f t="shared" si="3"/>
        <v>0</v>
      </c>
      <c r="O38" s="17">
        <f t="shared" si="4"/>
        <v>0</v>
      </c>
      <c r="P38" s="18">
        <f t="shared" si="5"/>
        <v>0</v>
      </c>
      <c r="T38" s="15"/>
      <c r="U38" s="24" t="s">
        <v>86</v>
      </c>
      <c r="V38" s="12"/>
      <c r="W38" s="17"/>
      <c r="X38" s="18"/>
    </row>
    <row r="39" spans="1:24" ht="20.399999999999999" x14ac:dyDescent="0.25">
      <c r="A39" s="108"/>
      <c r="B39" s="135"/>
      <c r="C39" s="94"/>
      <c r="D39" s="94"/>
      <c r="E39" s="121"/>
      <c r="F39" s="121"/>
      <c r="G39" s="15"/>
      <c r="H39" s="24">
        <v>3845</v>
      </c>
      <c r="I39" s="12"/>
      <c r="J39" s="17"/>
      <c r="K39" s="18"/>
      <c r="L39" s="10">
        <f t="shared" si="1"/>
        <v>0</v>
      </c>
      <c r="M39" s="24">
        <f t="shared" si="2"/>
        <v>3845</v>
      </c>
      <c r="N39" s="12">
        <f t="shared" si="3"/>
        <v>0</v>
      </c>
      <c r="O39" s="17">
        <f t="shared" si="4"/>
        <v>0</v>
      </c>
      <c r="P39" s="18">
        <f t="shared" si="5"/>
        <v>0</v>
      </c>
      <c r="T39" s="15"/>
      <c r="U39" s="24" t="s">
        <v>87</v>
      </c>
      <c r="V39" s="12"/>
      <c r="W39" s="17"/>
      <c r="X39" s="18"/>
    </row>
    <row r="40" spans="1:24" ht="20.399999999999999" x14ac:dyDescent="0.25">
      <c r="A40" s="108"/>
      <c r="B40" s="135"/>
      <c r="C40" s="94"/>
      <c r="D40" s="94"/>
      <c r="E40" s="121"/>
      <c r="F40" s="121"/>
      <c r="G40" s="15"/>
      <c r="H40" s="24">
        <v>3502</v>
      </c>
      <c r="I40" s="12"/>
      <c r="J40" s="17"/>
      <c r="K40" s="18"/>
      <c r="L40" s="10">
        <f t="shared" si="1"/>
        <v>0</v>
      </c>
      <c r="M40" s="24">
        <f t="shared" si="2"/>
        <v>3502</v>
      </c>
      <c r="N40" s="12">
        <f t="shared" si="3"/>
        <v>0</v>
      </c>
      <c r="O40" s="17">
        <f t="shared" si="4"/>
        <v>0</v>
      </c>
      <c r="P40" s="18">
        <f t="shared" si="5"/>
        <v>0</v>
      </c>
      <c r="T40" s="15"/>
      <c r="U40" s="24" t="s">
        <v>88</v>
      </c>
      <c r="V40" s="12"/>
      <c r="W40" s="17"/>
      <c r="X40" s="18"/>
    </row>
    <row r="41" spans="1:24" ht="20.399999999999999" x14ac:dyDescent="0.25">
      <c r="A41" s="108"/>
      <c r="B41" s="135"/>
      <c r="C41" s="94"/>
      <c r="D41" s="94"/>
      <c r="E41" s="121"/>
      <c r="F41" s="121"/>
      <c r="G41" s="15"/>
      <c r="H41" s="24">
        <v>3454</v>
      </c>
      <c r="I41" s="12"/>
      <c r="J41" s="17"/>
      <c r="K41" s="18"/>
      <c r="L41" s="10">
        <f t="shared" si="1"/>
        <v>0</v>
      </c>
      <c r="M41" s="24">
        <f t="shared" si="2"/>
        <v>3454</v>
      </c>
      <c r="N41" s="12">
        <f t="shared" si="3"/>
        <v>0</v>
      </c>
      <c r="O41" s="17">
        <f t="shared" si="4"/>
        <v>0</v>
      </c>
      <c r="P41" s="18">
        <f t="shared" si="5"/>
        <v>0</v>
      </c>
      <c r="T41" s="15"/>
      <c r="U41" s="24" t="s">
        <v>89</v>
      </c>
      <c r="V41" s="12"/>
      <c r="W41" s="17"/>
      <c r="X41" s="18"/>
    </row>
    <row r="42" spans="1:24" ht="20.399999999999999" x14ac:dyDescent="0.25">
      <c r="A42" s="108"/>
      <c r="B42" s="135"/>
      <c r="C42" s="94"/>
      <c r="D42" s="94"/>
      <c r="E42" s="121"/>
      <c r="F42" s="121"/>
      <c r="G42" s="15"/>
      <c r="H42" s="24">
        <v>4378</v>
      </c>
      <c r="I42" s="12"/>
      <c r="J42" s="17"/>
      <c r="K42" s="18"/>
      <c r="L42" s="10">
        <f t="shared" si="1"/>
        <v>0</v>
      </c>
      <c r="M42" s="24">
        <f t="shared" si="2"/>
        <v>4378</v>
      </c>
      <c r="N42" s="12">
        <f t="shared" si="3"/>
        <v>0</v>
      </c>
      <c r="O42" s="17">
        <f t="shared" si="4"/>
        <v>0</v>
      </c>
      <c r="P42" s="18">
        <f t="shared" si="5"/>
        <v>0</v>
      </c>
      <c r="T42" s="15"/>
      <c r="U42" s="24" t="s">
        <v>90</v>
      </c>
      <c r="V42" s="12"/>
      <c r="W42" s="17"/>
      <c r="X42" s="18"/>
    </row>
    <row r="43" spans="1:24" ht="20.399999999999999" x14ac:dyDescent="0.25">
      <c r="A43" s="108"/>
      <c r="B43" s="135"/>
      <c r="C43" s="94"/>
      <c r="D43" s="94"/>
      <c r="E43" s="122"/>
      <c r="F43" s="122"/>
      <c r="G43" s="15"/>
      <c r="H43" s="24">
        <v>4328</v>
      </c>
      <c r="I43" s="12"/>
      <c r="J43" s="17"/>
      <c r="K43" s="18"/>
      <c r="L43" s="10">
        <f t="shared" si="1"/>
        <v>0</v>
      </c>
      <c r="M43" s="24">
        <f t="shared" si="2"/>
        <v>4328</v>
      </c>
      <c r="N43" s="12">
        <f t="shared" si="3"/>
        <v>0</v>
      </c>
      <c r="O43" s="17">
        <f t="shared" si="4"/>
        <v>0</v>
      </c>
      <c r="P43" s="18">
        <f t="shared" si="5"/>
        <v>0</v>
      </c>
      <c r="T43" s="15"/>
      <c r="U43" s="24" t="s">
        <v>91</v>
      </c>
      <c r="V43" s="12"/>
      <c r="W43" s="17"/>
      <c r="X43" s="18"/>
    </row>
    <row r="44" spans="1:24" x14ac:dyDescent="0.25">
      <c r="A44" s="108"/>
      <c r="B44" s="136"/>
      <c r="C44" s="95"/>
      <c r="D44" s="95"/>
      <c r="E44" s="8" t="s">
        <v>17</v>
      </c>
      <c r="F44" s="19" t="s">
        <v>24</v>
      </c>
      <c r="G44" s="10">
        <v>19687.11</v>
      </c>
      <c r="H44" s="11"/>
      <c r="I44" s="12"/>
      <c r="J44" s="13">
        <v>21295.79</v>
      </c>
      <c r="K44" s="14">
        <v>21011.65</v>
      </c>
      <c r="L44" s="10">
        <f t="shared" si="1"/>
        <v>19687.11</v>
      </c>
      <c r="M44" s="11">
        <f t="shared" si="2"/>
        <v>0</v>
      </c>
      <c r="N44" s="12">
        <f t="shared" si="3"/>
        <v>0</v>
      </c>
      <c r="O44" s="13">
        <f t="shared" si="4"/>
        <v>21295.79</v>
      </c>
      <c r="P44" s="14">
        <f t="shared" si="5"/>
        <v>21011.65</v>
      </c>
      <c r="T44" s="10">
        <v>19687.11</v>
      </c>
      <c r="U44" s="11"/>
      <c r="V44" s="12"/>
      <c r="W44" s="13">
        <v>21295.79</v>
      </c>
      <c r="X44" s="14">
        <v>21011.65</v>
      </c>
    </row>
    <row r="45" spans="1:24" x14ac:dyDescent="0.25">
      <c r="A45" s="130" t="s">
        <v>129</v>
      </c>
      <c r="B45" s="125">
        <v>6</v>
      </c>
      <c r="C45" s="93" t="s">
        <v>27</v>
      </c>
      <c r="D45" s="96" t="s">
        <v>28</v>
      </c>
      <c r="E45" s="137" t="s">
        <v>11</v>
      </c>
      <c r="F45" s="138"/>
      <c r="G45" s="15"/>
      <c r="H45" s="11"/>
      <c r="I45" s="12"/>
      <c r="J45" s="13">
        <v>49.9</v>
      </c>
      <c r="K45" s="18"/>
      <c r="L45" s="10">
        <f t="shared" si="1"/>
        <v>0</v>
      </c>
      <c r="M45" s="11">
        <f t="shared" si="2"/>
        <v>0</v>
      </c>
      <c r="N45" s="12">
        <f t="shared" si="3"/>
        <v>0</v>
      </c>
      <c r="O45" s="13">
        <f t="shared" si="4"/>
        <v>49.9</v>
      </c>
      <c r="P45" s="18">
        <f t="shared" si="5"/>
        <v>0</v>
      </c>
      <c r="T45" s="15"/>
      <c r="U45" s="11"/>
      <c r="V45" s="12"/>
      <c r="W45" s="13">
        <v>49.9</v>
      </c>
      <c r="X45" s="18"/>
    </row>
    <row r="46" spans="1:24" x14ac:dyDescent="0.25">
      <c r="A46" s="131"/>
      <c r="B46" s="126"/>
      <c r="C46" s="94"/>
      <c r="D46" s="97"/>
      <c r="E46" s="19" t="s">
        <v>16</v>
      </c>
      <c r="F46" s="26"/>
      <c r="G46" s="10">
        <v>123.33</v>
      </c>
      <c r="H46" s="16">
        <v>220.2</v>
      </c>
      <c r="I46" s="12"/>
      <c r="J46" s="17"/>
      <c r="K46" s="14">
        <v>157.08000000000001</v>
      </c>
      <c r="L46" s="10">
        <f t="shared" si="1"/>
        <v>123.33</v>
      </c>
      <c r="M46" s="16">
        <f t="shared" si="2"/>
        <v>220.2</v>
      </c>
      <c r="N46" s="12">
        <f t="shared" si="3"/>
        <v>0</v>
      </c>
      <c r="O46" s="17">
        <f t="shared" si="4"/>
        <v>0</v>
      </c>
      <c r="P46" s="14">
        <f t="shared" si="5"/>
        <v>157.08000000000001</v>
      </c>
      <c r="T46" s="10">
        <v>123.33</v>
      </c>
      <c r="U46" s="16">
        <v>220.2</v>
      </c>
      <c r="V46" s="12"/>
      <c r="W46" s="17"/>
      <c r="X46" s="14">
        <v>157.08000000000001</v>
      </c>
    </row>
    <row r="47" spans="1:24" x14ac:dyDescent="0.25">
      <c r="A47" s="131"/>
      <c r="B47" s="126"/>
      <c r="C47" s="94"/>
      <c r="D47" s="97"/>
      <c r="E47" s="19" t="s">
        <v>13</v>
      </c>
      <c r="F47" s="26"/>
      <c r="G47" s="25" t="s">
        <v>45</v>
      </c>
      <c r="H47" s="16">
        <v>113.8</v>
      </c>
      <c r="I47" s="12"/>
      <c r="J47" s="17"/>
      <c r="K47" s="14">
        <v>96.75</v>
      </c>
      <c r="L47" s="10">
        <f t="shared" si="1"/>
        <v>0</v>
      </c>
      <c r="M47" s="16">
        <f t="shared" si="2"/>
        <v>113.8</v>
      </c>
      <c r="N47" s="12">
        <f t="shared" si="3"/>
        <v>0</v>
      </c>
      <c r="O47" s="17">
        <f t="shared" si="4"/>
        <v>0</v>
      </c>
      <c r="P47" s="14">
        <f t="shared" si="5"/>
        <v>96.75</v>
      </c>
      <c r="T47" s="25" t="s">
        <v>45</v>
      </c>
      <c r="U47" s="16">
        <v>113.8</v>
      </c>
      <c r="V47" s="12"/>
      <c r="W47" s="17"/>
      <c r="X47" s="14">
        <v>96.75</v>
      </c>
    </row>
    <row r="48" spans="1:24" x14ac:dyDescent="0.25">
      <c r="A48" s="132"/>
      <c r="B48" s="127"/>
      <c r="C48" s="95"/>
      <c r="D48" s="98"/>
      <c r="E48" s="19" t="s">
        <v>17</v>
      </c>
      <c r="F48" s="26"/>
      <c r="G48" s="10">
        <v>27.67</v>
      </c>
      <c r="H48" s="11"/>
      <c r="I48" s="12"/>
      <c r="J48" s="17"/>
      <c r="K48" s="14">
        <v>31.5</v>
      </c>
      <c r="L48" s="10">
        <f t="shared" si="1"/>
        <v>27.67</v>
      </c>
      <c r="M48" s="11">
        <f t="shared" si="2"/>
        <v>0</v>
      </c>
      <c r="N48" s="12">
        <f t="shared" si="3"/>
        <v>0</v>
      </c>
      <c r="O48" s="17">
        <f t="shared" si="4"/>
        <v>0</v>
      </c>
      <c r="P48" s="14">
        <f t="shared" si="5"/>
        <v>31.5</v>
      </c>
      <c r="T48" s="10">
        <v>27.67</v>
      </c>
      <c r="U48" s="11"/>
      <c r="V48" s="12"/>
      <c r="W48" s="17"/>
      <c r="X48" s="14">
        <v>31.5</v>
      </c>
    </row>
    <row r="49" spans="1:24" x14ac:dyDescent="0.25">
      <c r="A49" s="108" t="s">
        <v>129</v>
      </c>
      <c r="B49" s="125">
        <v>7</v>
      </c>
      <c r="C49" s="90" t="s">
        <v>29</v>
      </c>
      <c r="D49" s="81" t="s">
        <v>30</v>
      </c>
      <c r="E49" s="137" t="s">
        <v>11</v>
      </c>
      <c r="F49" s="138"/>
      <c r="G49" s="15"/>
      <c r="H49" s="11"/>
      <c r="I49" s="12"/>
      <c r="J49" s="13">
        <v>99.5</v>
      </c>
      <c r="K49" s="18"/>
      <c r="L49" s="10">
        <f t="shared" si="1"/>
        <v>0</v>
      </c>
      <c r="M49" s="11">
        <f t="shared" si="2"/>
        <v>0</v>
      </c>
      <c r="N49" s="12">
        <f t="shared" si="3"/>
        <v>0</v>
      </c>
      <c r="O49" s="13">
        <f t="shared" si="4"/>
        <v>99.5</v>
      </c>
      <c r="P49" s="18">
        <f t="shared" si="5"/>
        <v>0</v>
      </c>
      <c r="T49" s="15"/>
      <c r="U49" s="11"/>
      <c r="V49" s="12"/>
      <c r="W49" s="13">
        <v>99.5</v>
      </c>
      <c r="X49" s="18"/>
    </row>
    <row r="50" spans="1:24" x14ac:dyDescent="0.25">
      <c r="A50" s="108"/>
      <c r="B50" s="126"/>
      <c r="C50" s="91"/>
      <c r="D50" s="82"/>
      <c r="E50" s="19" t="s">
        <v>16</v>
      </c>
      <c r="F50" s="26"/>
      <c r="G50" s="10">
        <v>99.75</v>
      </c>
      <c r="H50" s="16">
        <v>96.9</v>
      </c>
      <c r="I50" s="12"/>
      <c r="J50" s="17"/>
      <c r="K50" s="14">
        <v>99.87</v>
      </c>
      <c r="L50" s="10">
        <f t="shared" si="1"/>
        <v>99.75</v>
      </c>
      <c r="M50" s="16">
        <f t="shared" si="2"/>
        <v>96.9</v>
      </c>
      <c r="N50" s="12">
        <f t="shared" si="3"/>
        <v>0</v>
      </c>
      <c r="O50" s="17">
        <f t="shared" si="4"/>
        <v>0</v>
      </c>
      <c r="P50" s="14">
        <f t="shared" si="5"/>
        <v>99.87</v>
      </c>
      <c r="T50" s="10">
        <v>99.75</v>
      </c>
      <c r="U50" s="16">
        <v>96.9</v>
      </c>
      <c r="V50" s="12"/>
      <c r="W50" s="17"/>
      <c r="X50" s="14">
        <v>99.87</v>
      </c>
    </row>
    <row r="51" spans="1:24" x14ac:dyDescent="0.25">
      <c r="A51" s="108"/>
      <c r="B51" s="126"/>
      <c r="C51" s="91"/>
      <c r="D51" s="82"/>
      <c r="E51" s="19" t="s">
        <v>13</v>
      </c>
      <c r="F51" s="26"/>
      <c r="G51" s="25" t="s">
        <v>45</v>
      </c>
      <c r="H51" s="16">
        <v>97.7</v>
      </c>
      <c r="I51" s="12"/>
      <c r="J51" s="17"/>
      <c r="K51" s="14">
        <v>99.28</v>
      </c>
      <c r="L51" s="10">
        <f t="shared" si="1"/>
        <v>0</v>
      </c>
      <c r="M51" s="16">
        <f t="shared" si="2"/>
        <v>97.7</v>
      </c>
      <c r="N51" s="12">
        <f t="shared" si="3"/>
        <v>0</v>
      </c>
      <c r="O51" s="17">
        <f t="shared" si="4"/>
        <v>0</v>
      </c>
      <c r="P51" s="14">
        <f t="shared" si="5"/>
        <v>99.28</v>
      </c>
      <c r="T51" s="25" t="s">
        <v>45</v>
      </c>
      <c r="U51" s="16">
        <v>97.7</v>
      </c>
      <c r="V51" s="12"/>
      <c r="W51" s="17"/>
      <c r="X51" s="14">
        <v>99.28</v>
      </c>
    </row>
    <row r="52" spans="1:24" x14ac:dyDescent="0.25">
      <c r="A52" s="108"/>
      <c r="B52" s="127"/>
      <c r="C52" s="92"/>
      <c r="D52" s="83"/>
      <c r="E52" s="19" t="s">
        <v>17</v>
      </c>
      <c r="F52" s="26"/>
      <c r="G52" s="10">
        <v>99.95</v>
      </c>
      <c r="H52" s="11"/>
      <c r="I52" s="12"/>
      <c r="J52" s="17"/>
      <c r="K52" s="14">
        <v>96.91</v>
      </c>
      <c r="L52" s="10">
        <f t="shared" si="1"/>
        <v>99.95</v>
      </c>
      <c r="M52" s="11">
        <f t="shared" si="2"/>
        <v>0</v>
      </c>
      <c r="N52" s="12">
        <f t="shared" si="3"/>
        <v>0</v>
      </c>
      <c r="O52" s="17">
        <f t="shared" si="4"/>
        <v>0</v>
      </c>
      <c r="P52" s="14">
        <f t="shared" si="5"/>
        <v>96.91</v>
      </c>
      <c r="T52" s="10">
        <v>99.95</v>
      </c>
      <c r="U52" s="11"/>
      <c r="V52" s="12"/>
      <c r="W52" s="17"/>
      <c r="X52" s="14">
        <v>96.91</v>
      </c>
    </row>
    <row r="53" spans="1:24" x14ac:dyDescent="0.25">
      <c r="A53" s="108" t="s">
        <v>129</v>
      </c>
      <c r="B53" s="125">
        <v>8</v>
      </c>
      <c r="C53" s="78" t="s">
        <v>31</v>
      </c>
      <c r="D53" s="81" t="s">
        <v>32</v>
      </c>
      <c r="E53" s="137" t="s">
        <v>11</v>
      </c>
      <c r="F53" s="138"/>
      <c r="G53" s="15"/>
      <c r="H53" s="11"/>
      <c r="I53" s="12"/>
      <c r="J53" s="13">
        <v>0.41</v>
      </c>
      <c r="K53" s="18"/>
      <c r="L53" s="10">
        <f t="shared" si="1"/>
        <v>0</v>
      </c>
      <c r="M53" s="11">
        <f t="shared" si="2"/>
        <v>0</v>
      </c>
      <c r="N53" s="12">
        <f t="shared" si="3"/>
        <v>0</v>
      </c>
      <c r="O53" s="13">
        <f t="shared" si="4"/>
        <v>0.41</v>
      </c>
      <c r="P53" s="18">
        <f t="shared" si="5"/>
        <v>0</v>
      </c>
      <c r="T53" s="15"/>
      <c r="U53" s="11"/>
      <c r="V53" s="12"/>
      <c r="W53" s="13">
        <v>0.41</v>
      </c>
      <c r="X53" s="18"/>
    </row>
    <row r="54" spans="1:24" x14ac:dyDescent="0.25">
      <c r="A54" s="108"/>
      <c r="B54" s="126"/>
      <c r="C54" s="79"/>
      <c r="D54" s="82"/>
      <c r="E54" s="19" t="s">
        <v>16</v>
      </c>
      <c r="F54" s="26"/>
      <c r="G54" s="10">
        <v>4.87</v>
      </c>
      <c r="H54" s="11"/>
      <c r="I54" s="12"/>
      <c r="J54" s="17"/>
      <c r="K54" s="14">
        <v>0.87</v>
      </c>
      <c r="L54" s="10">
        <f t="shared" si="1"/>
        <v>4.87</v>
      </c>
      <c r="M54" s="11">
        <f t="shared" si="2"/>
        <v>0</v>
      </c>
      <c r="N54" s="12">
        <f t="shared" si="3"/>
        <v>0</v>
      </c>
      <c r="O54" s="17">
        <f t="shared" si="4"/>
        <v>0</v>
      </c>
      <c r="P54" s="14">
        <f t="shared" si="5"/>
        <v>0.87</v>
      </c>
      <c r="T54" s="10">
        <v>4.87</v>
      </c>
      <c r="U54" s="11"/>
      <c r="V54" s="12"/>
      <c r="W54" s="17"/>
      <c r="X54" s="14">
        <v>0.87</v>
      </c>
    </row>
    <row r="55" spans="1:24" x14ac:dyDescent="0.25">
      <c r="A55" s="108"/>
      <c r="B55" s="126"/>
      <c r="C55" s="79"/>
      <c r="D55" s="82"/>
      <c r="E55" s="19" t="s">
        <v>13</v>
      </c>
      <c r="F55" s="26"/>
      <c r="G55" s="25" t="s">
        <v>45</v>
      </c>
      <c r="H55" s="16">
        <v>1.6</v>
      </c>
      <c r="I55" s="12"/>
      <c r="J55" s="17"/>
      <c r="K55" s="14">
        <v>0.71</v>
      </c>
      <c r="L55" s="10">
        <f t="shared" si="1"/>
        <v>0</v>
      </c>
      <c r="M55" s="16">
        <f t="shared" si="2"/>
        <v>1.6</v>
      </c>
      <c r="N55" s="12">
        <f t="shared" si="3"/>
        <v>0</v>
      </c>
      <c r="O55" s="17">
        <f t="shared" si="4"/>
        <v>0</v>
      </c>
      <c r="P55" s="14">
        <f t="shared" si="5"/>
        <v>0.71</v>
      </c>
      <c r="T55" s="25" t="s">
        <v>45</v>
      </c>
      <c r="U55" s="16">
        <v>1.6</v>
      </c>
      <c r="V55" s="12"/>
      <c r="W55" s="17"/>
      <c r="X55" s="14">
        <v>0.71</v>
      </c>
    </row>
    <row r="56" spans="1:24" x14ac:dyDescent="0.25">
      <c r="A56" s="108"/>
      <c r="B56" s="127"/>
      <c r="C56" s="80"/>
      <c r="D56" s="83"/>
      <c r="E56" s="19" t="s">
        <v>17</v>
      </c>
      <c r="F56" s="26"/>
      <c r="G56" s="10">
        <v>0.59</v>
      </c>
      <c r="H56" s="11"/>
      <c r="I56" s="12"/>
      <c r="J56" s="17"/>
      <c r="K56" s="14">
        <v>0.37</v>
      </c>
      <c r="L56" s="10">
        <f t="shared" si="1"/>
        <v>0.59</v>
      </c>
      <c r="M56" s="11">
        <f t="shared" si="2"/>
        <v>0</v>
      </c>
      <c r="N56" s="12">
        <f t="shared" si="3"/>
        <v>0</v>
      </c>
      <c r="O56" s="17">
        <f t="shared" si="4"/>
        <v>0</v>
      </c>
      <c r="P56" s="14">
        <f t="shared" si="5"/>
        <v>0.37</v>
      </c>
      <c r="T56" s="10">
        <v>0.59</v>
      </c>
      <c r="U56" s="11"/>
      <c r="V56" s="12"/>
      <c r="W56" s="17"/>
      <c r="X56" s="14">
        <v>0.37</v>
      </c>
    </row>
  </sheetData>
  <mergeCells count="48">
    <mergeCell ref="B2:B4"/>
    <mergeCell ref="C2:C4"/>
    <mergeCell ref="D2:D4"/>
    <mergeCell ref="E2:F2"/>
    <mergeCell ref="E3:F3"/>
    <mergeCell ref="E4:F4"/>
    <mergeCell ref="B5:B8"/>
    <mergeCell ref="C5:C8"/>
    <mergeCell ref="D5:D8"/>
    <mergeCell ref="E5:F5"/>
    <mergeCell ref="E6:F6"/>
    <mergeCell ref="E7:F7"/>
    <mergeCell ref="E8:F8"/>
    <mergeCell ref="B9:B12"/>
    <mergeCell ref="C9:C12"/>
    <mergeCell ref="D9:D12"/>
    <mergeCell ref="E9:F9"/>
    <mergeCell ref="B13:B28"/>
    <mergeCell ref="C13:C28"/>
    <mergeCell ref="D13:D28"/>
    <mergeCell ref="E15:E27"/>
    <mergeCell ref="F16:F27"/>
    <mergeCell ref="D53:D56"/>
    <mergeCell ref="E53:F53"/>
    <mergeCell ref="E32:E43"/>
    <mergeCell ref="F32:F43"/>
    <mergeCell ref="B45:B48"/>
    <mergeCell ref="C45:C48"/>
    <mergeCell ref="D45:D48"/>
    <mergeCell ref="E45:F45"/>
    <mergeCell ref="C29:C44"/>
    <mergeCell ref="D29:D44"/>
    <mergeCell ref="A45:A48"/>
    <mergeCell ref="A49:A52"/>
    <mergeCell ref="A53:A56"/>
    <mergeCell ref="E1:F1"/>
    <mergeCell ref="A2:A4"/>
    <mergeCell ref="A5:A8"/>
    <mergeCell ref="A9:A12"/>
    <mergeCell ref="A13:A28"/>
    <mergeCell ref="A29:A44"/>
    <mergeCell ref="B29:B44"/>
    <mergeCell ref="B49:B52"/>
    <mergeCell ref="C49:C52"/>
    <mergeCell ref="D49:D52"/>
    <mergeCell ref="E49:F49"/>
    <mergeCell ref="B53:B56"/>
    <mergeCell ref="C53:C5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P33"/>
  <sheetViews>
    <sheetView workbookViewId="0">
      <selection activeCell="P1" sqref="P1:P1048576"/>
    </sheetView>
  </sheetViews>
  <sheetFormatPr defaultRowHeight="13.2" x14ac:dyDescent="0.25"/>
  <cols>
    <col min="1" max="1" width="15.33203125" customWidth="1"/>
  </cols>
  <sheetData>
    <row r="1" spans="1:16" ht="40.799999999999997" x14ac:dyDescent="0.25">
      <c r="A1" s="31" t="s">
        <v>115</v>
      </c>
      <c r="B1" s="64" t="s">
        <v>0</v>
      </c>
      <c r="C1" s="57" t="s">
        <v>1</v>
      </c>
      <c r="D1" s="58" t="s">
        <v>2</v>
      </c>
      <c r="E1" s="123" t="s">
        <v>3</v>
      </c>
      <c r="F1" s="124"/>
      <c r="G1" s="59" t="s">
        <v>4</v>
      </c>
      <c r="H1" s="60" t="s">
        <v>5</v>
      </c>
      <c r="I1" s="61" t="s">
        <v>6</v>
      </c>
      <c r="J1" s="62" t="s">
        <v>7</v>
      </c>
      <c r="K1" s="63" t="s">
        <v>8</v>
      </c>
      <c r="L1" s="59" t="s">
        <v>4</v>
      </c>
      <c r="M1" s="60" t="s">
        <v>5</v>
      </c>
      <c r="N1" s="61" t="s">
        <v>6</v>
      </c>
      <c r="O1" s="62" t="s">
        <v>7</v>
      </c>
      <c r="P1" s="63" t="s">
        <v>8</v>
      </c>
    </row>
    <row r="2" spans="1:16" x14ac:dyDescent="0.25">
      <c r="A2" s="107" t="s">
        <v>130</v>
      </c>
      <c r="B2" s="125">
        <v>1</v>
      </c>
      <c r="C2" s="104" t="s">
        <v>9</v>
      </c>
      <c r="D2" s="104" t="s">
        <v>54</v>
      </c>
      <c r="E2" s="84" t="s">
        <v>11</v>
      </c>
      <c r="F2" s="85"/>
      <c r="G2" s="10">
        <v>100</v>
      </c>
      <c r="H2" s="11"/>
      <c r="I2" s="27">
        <v>99.18</v>
      </c>
      <c r="J2" s="13">
        <v>98.83</v>
      </c>
      <c r="K2" s="14">
        <v>99.92</v>
      </c>
      <c r="L2" s="10">
        <f>IF(OR(G2="NA",G2=0),0,(1*G2))</f>
        <v>100</v>
      </c>
      <c r="M2" s="11">
        <f t="shared" ref="M2:P2" si="0">IF(OR(H2="NA",H2=0),0,(1*H2))</f>
        <v>0</v>
      </c>
      <c r="N2" s="27">
        <f t="shared" si="0"/>
        <v>99.18</v>
      </c>
      <c r="O2" s="13">
        <f t="shared" si="0"/>
        <v>98.83</v>
      </c>
      <c r="P2" s="14">
        <f t="shared" si="0"/>
        <v>99.92</v>
      </c>
    </row>
    <row r="3" spans="1:16" x14ac:dyDescent="0.25">
      <c r="A3" s="108"/>
      <c r="B3" s="127"/>
      <c r="C3" s="106"/>
      <c r="D3" s="106"/>
      <c r="E3" s="88" t="s">
        <v>13</v>
      </c>
      <c r="F3" s="89"/>
      <c r="G3" s="15"/>
      <c r="H3" s="11"/>
      <c r="I3" s="12"/>
      <c r="J3" s="17"/>
      <c r="K3" s="18"/>
      <c r="L3" s="10">
        <f t="shared" ref="L3:L33" si="1">IF(OR(G3="NA",G3=0),0,(1*G3))</f>
        <v>0</v>
      </c>
      <c r="M3" s="11">
        <f t="shared" ref="M3:M33" si="2">IF(OR(H3="NA",H3=0),0,(1*H3))</f>
        <v>0</v>
      </c>
      <c r="N3" s="12">
        <f t="shared" ref="N3:N33" si="3">IF(OR(I3="NA",I3=0),0,(1*I3))</f>
        <v>0</v>
      </c>
      <c r="O3" s="17">
        <f t="shared" ref="O3:O33" si="4">IF(OR(J3="NA",J3=0),0,(1*J3))</f>
        <v>0</v>
      </c>
      <c r="P3" s="18">
        <f t="shared" ref="P3:P33" si="5">IF(OR(K3="NA",K3=0),0,(1*K3))</f>
        <v>0</v>
      </c>
    </row>
    <row r="4" spans="1:16" x14ac:dyDescent="0.25">
      <c r="A4" s="108" t="s">
        <v>130</v>
      </c>
      <c r="B4" s="125">
        <v>2</v>
      </c>
      <c r="C4" s="93" t="s">
        <v>14</v>
      </c>
      <c r="D4" s="93" t="s">
        <v>15</v>
      </c>
      <c r="E4" s="84" t="s">
        <v>11</v>
      </c>
      <c r="F4" s="85"/>
      <c r="G4" s="15"/>
      <c r="H4" s="11"/>
      <c r="I4" s="12"/>
      <c r="J4" s="13">
        <v>100</v>
      </c>
      <c r="K4" s="18"/>
      <c r="L4" s="10">
        <f t="shared" si="1"/>
        <v>0</v>
      </c>
      <c r="M4" s="11">
        <f t="shared" si="2"/>
        <v>0</v>
      </c>
      <c r="N4" s="12">
        <f t="shared" si="3"/>
        <v>0</v>
      </c>
      <c r="O4" s="13">
        <f t="shared" si="4"/>
        <v>100</v>
      </c>
      <c r="P4" s="18">
        <f t="shared" si="5"/>
        <v>0</v>
      </c>
    </row>
    <row r="5" spans="1:16" x14ac:dyDescent="0.25">
      <c r="A5" s="108"/>
      <c r="B5" s="126"/>
      <c r="C5" s="94"/>
      <c r="D5" s="94"/>
      <c r="E5" s="86" t="s">
        <v>16</v>
      </c>
      <c r="F5" s="87"/>
      <c r="G5" s="10">
        <v>100</v>
      </c>
      <c r="H5" s="11"/>
      <c r="I5" s="27">
        <v>100</v>
      </c>
      <c r="J5" s="17"/>
      <c r="K5" s="14">
        <v>100</v>
      </c>
      <c r="L5" s="10">
        <f t="shared" si="1"/>
        <v>100</v>
      </c>
      <c r="M5" s="11">
        <f t="shared" si="2"/>
        <v>0</v>
      </c>
      <c r="N5" s="27">
        <f t="shared" si="3"/>
        <v>100</v>
      </c>
      <c r="O5" s="17">
        <f t="shared" si="4"/>
        <v>0</v>
      </c>
      <c r="P5" s="14">
        <f t="shared" si="5"/>
        <v>100</v>
      </c>
    </row>
    <row r="6" spans="1:16" x14ac:dyDescent="0.25">
      <c r="A6" s="108"/>
      <c r="B6" s="126"/>
      <c r="C6" s="94"/>
      <c r="D6" s="94"/>
      <c r="E6" s="88" t="s">
        <v>13</v>
      </c>
      <c r="F6" s="89"/>
      <c r="G6" s="25" t="s">
        <v>45</v>
      </c>
      <c r="H6" s="11"/>
      <c r="I6" s="27">
        <v>100</v>
      </c>
      <c r="J6" s="17"/>
      <c r="K6" s="28" t="s">
        <v>45</v>
      </c>
      <c r="L6" s="10">
        <f t="shared" si="1"/>
        <v>0</v>
      </c>
      <c r="M6" s="11">
        <f t="shared" si="2"/>
        <v>0</v>
      </c>
      <c r="N6" s="27">
        <f t="shared" si="3"/>
        <v>100</v>
      </c>
      <c r="O6" s="17">
        <f t="shared" si="4"/>
        <v>0</v>
      </c>
      <c r="P6" s="28">
        <f t="shared" si="5"/>
        <v>0</v>
      </c>
    </row>
    <row r="7" spans="1:16" x14ac:dyDescent="0.25">
      <c r="A7" s="108"/>
      <c r="B7" s="127"/>
      <c r="C7" s="95"/>
      <c r="D7" s="95"/>
      <c r="E7" s="88" t="s">
        <v>17</v>
      </c>
      <c r="F7" s="89"/>
      <c r="G7" s="10">
        <v>100</v>
      </c>
      <c r="H7" s="11"/>
      <c r="I7" s="12"/>
      <c r="J7" s="17"/>
      <c r="K7" s="14">
        <v>100</v>
      </c>
      <c r="L7" s="10">
        <f t="shared" si="1"/>
        <v>100</v>
      </c>
      <c r="M7" s="11">
        <f t="shared" si="2"/>
        <v>0</v>
      </c>
      <c r="N7" s="12">
        <f t="shared" si="3"/>
        <v>0</v>
      </c>
      <c r="O7" s="17">
        <f t="shared" si="4"/>
        <v>0</v>
      </c>
      <c r="P7" s="14">
        <f t="shared" si="5"/>
        <v>100</v>
      </c>
    </row>
    <row r="8" spans="1:16" x14ac:dyDescent="0.25">
      <c r="A8" s="108" t="s">
        <v>130</v>
      </c>
      <c r="B8" s="125">
        <v>3</v>
      </c>
      <c r="C8" s="93" t="s">
        <v>18</v>
      </c>
      <c r="D8" s="93" t="s">
        <v>19</v>
      </c>
      <c r="E8" s="84" t="s">
        <v>11</v>
      </c>
      <c r="F8" s="85"/>
      <c r="G8" s="15"/>
      <c r="H8" s="11"/>
      <c r="I8" s="12"/>
      <c r="J8" s="13">
        <v>100</v>
      </c>
      <c r="K8" s="18"/>
      <c r="L8" s="10">
        <f t="shared" si="1"/>
        <v>0</v>
      </c>
      <c r="M8" s="11">
        <f t="shared" si="2"/>
        <v>0</v>
      </c>
      <c r="N8" s="12">
        <f t="shared" si="3"/>
        <v>0</v>
      </c>
      <c r="O8" s="13">
        <f t="shared" si="4"/>
        <v>100</v>
      </c>
      <c r="P8" s="18">
        <f t="shared" si="5"/>
        <v>0</v>
      </c>
    </row>
    <row r="9" spans="1:16" x14ac:dyDescent="0.25">
      <c r="A9" s="108"/>
      <c r="B9" s="126"/>
      <c r="C9" s="94"/>
      <c r="D9" s="94"/>
      <c r="E9" s="86" t="s">
        <v>16</v>
      </c>
      <c r="F9" s="87"/>
      <c r="G9" s="10">
        <v>100</v>
      </c>
      <c r="H9" s="11"/>
      <c r="I9" s="27">
        <v>100</v>
      </c>
      <c r="J9" s="17"/>
      <c r="K9" s="14">
        <v>100</v>
      </c>
      <c r="L9" s="10">
        <f t="shared" si="1"/>
        <v>100</v>
      </c>
      <c r="M9" s="11">
        <f t="shared" si="2"/>
        <v>0</v>
      </c>
      <c r="N9" s="27">
        <f t="shared" si="3"/>
        <v>100</v>
      </c>
      <c r="O9" s="17">
        <f t="shared" si="4"/>
        <v>0</v>
      </c>
      <c r="P9" s="14">
        <f t="shared" si="5"/>
        <v>100</v>
      </c>
    </row>
    <row r="10" spans="1:16" x14ac:dyDescent="0.25">
      <c r="A10" s="108"/>
      <c r="B10" s="126"/>
      <c r="C10" s="94"/>
      <c r="D10" s="94"/>
      <c r="E10" s="88" t="s">
        <v>13</v>
      </c>
      <c r="F10" s="89"/>
      <c r="G10" s="25" t="s">
        <v>45</v>
      </c>
      <c r="H10" s="11"/>
      <c r="I10" s="27">
        <v>99.38</v>
      </c>
      <c r="J10" s="17"/>
      <c r="K10" s="28" t="s">
        <v>45</v>
      </c>
      <c r="L10" s="10">
        <f t="shared" si="1"/>
        <v>0</v>
      </c>
      <c r="M10" s="11">
        <f t="shared" si="2"/>
        <v>0</v>
      </c>
      <c r="N10" s="27">
        <f t="shared" si="3"/>
        <v>99.38</v>
      </c>
      <c r="O10" s="17">
        <f t="shared" si="4"/>
        <v>0</v>
      </c>
      <c r="P10" s="28">
        <f t="shared" si="5"/>
        <v>0</v>
      </c>
    </row>
    <row r="11" spans="1:16" x14ac:dyDescent="0.25">
      <c r="A11" s="108"/>
      <c r="B11" s="127"/>
      <c r="C11" s="95"/>
      <c r="D11" s="95"/>
      <c r="E11" s="88" t="s">
        <v>17</v>
      </c>
      <c r="F11" s="89"/>
      <c r="G11" s="10">
        <v>100</v>
      </c>
      <c r="H11" s="11"/>
      <c r="I11" s="12"/>
      <c r="J11" s="17"/>
      <c r="K11" s="14">
        <v>100</v>
      </c>
      <c r="L11" s="10">
        <f t="shared" si="1"/>
        <v>100</v>
      </c>
      <c r="M11" s="11">
        <f t="shared" si="2"/>
        <v>0</v>
      </c>
      <c r="N11" s="12">
        <f t="shared" si="3"/>
        <v>0</v>
      </c>
      <c r="O11" s="17">
        <f t="shared" si="4"/>
        <v>0</v>
      </c>
      <c r="P11" s="14">
        <f t="shared" si="5"/>
        <v>100</v>
      </c>
    </row>
    <row r="12" spans="1:16" x14ac:dyDescent="0.25">
      <c r="A12" s="130" t="s">
        <v>130</v>
      </c>
      <c r="B12" s="125">
        <v>4</v>
      </c>
      <c r="C12" s="99" t="s">
        <v>20</v>
      </c>
      <c r="D12" s="99" t="s">
        <v>21</v>
      </c>
      <c r="E12" s="90" t="s">
        <v>22</v>
      </c>
      <c r="F12" s="19" t="s">
        <v>23</v>
      </c>
      <c r="G12" s="15"/>
      <c r="H12" s="11"/>
      <c r="I12" s="12"/>
      <c r="J12" s="17"/>
      <c r="K12" s="18"/>
      <c r="L12" s="10">
        <f t="shared" si="1"/>
        <v>0</v>
      </c>
      <c r="M12" s="11">
        <f t="shared" si="2"/>
        <v>0</v>
      </c>
      <c r="N12" s="12">
        <f t="shared" si="3"/>
        <v>0</v>
      </c>
      <c r="O12" s="17">
        <f t="shared" si="4"/>
        <v>0</v>
      </c>
      <c r="P12" s="18">
        <f t="shared" si="5"/>
        <v>0</v>
      </c>
    </row>
    <row r="13" spans="1:16" x14ac:dyDescent="0.25">
      <c r="A13" s="131"/>
      <c r="B13" s="126"/>
      <c r="C13" s="100"/>
      <c r="D13" s="100"/>
      <c r="E13" s="92"/>
      <c r="F13" s="19" t="s">
        <v>92</v>
      </c>
      <c r="G13" s="15"/>
      <c r="H13" s="11"/>
      <c r="I13" s="12"/>
      <c r="J13" s="17"/>
      <c r="K13" s="18"/>
      <c r="L13" s="10">
        <f t="shared" si="1"/>
        <v>0</v>
      </c>
      <c r="M13" s="11">
        <f t="shared" si="2"/>
        <v>0</v>
      </c>
      <c r="N13" s="12">
        <f t="shared" si="3"/>
        <v>0</v>
      </c>
      <c r="O13" s="17">
        <f t="shared" si="4"/>
        <v>0</v>
      </c>
      <c r="P13" s="18">
        <f t="shared" si="5"/>
        <v>0</v>
      </c>
    </row>
    <row r="14" spans="1:16" x14ac:dyDescent="0.25">
      <c r="A14" s="131"/>
      <c r="B14" s="126"/>
      <c r="C14" s="100"/>
      <c r="D14" s="100"/>
      <c r="E14" s="8" t="s">
        <v>12</v>
      </c>
      <c r="F14" s="19" t="s">
        <v>23</v>
      </c>
      <c r="G14" s="10">
        <v>85.26</v>
      </c>
      <c r="H14" s="11"/>
      <c r="I14" s="27">
        <v>67.81</v>
      </c>
      <c r="J14" s="17"/>
      <c r="K14" s="14">
        <v>152.4</v>
      </c>
      <c r="L14" s="10">
        <f t="shared" si="1"/>
        <v>85.26</v>
      </c>
      <c r="M14" s="11">
        <f t="shared" si="2"/>
        <v>0</v>
      </c>
      <c r="N14" s="27">
        <f t="shared" si="3"/>
        <v>67.81</v>
      </c>
      <c r="O14" s="17">
        <f t="shared" si="4"/>
        <v>0</v>
      </c>
      <c r="P14" s="14">
        <f t="shared" si="5"/>
        <v>152.4</v>
      </c>
    </row>
    <row r="15" spans="1:16" x14ac:dyDescent="0.25">
      <c r="A15" s="131"/>
      <c r="B15" s="126"/>
      <c r="C15" s="100"/>
      <c r="D15" s="100"/>
      <c r="E15" s="8" t="s">
        <v>13</v>
      </c>
      <c r="F15" s="19" t="s">
        <v>23</v>
      </c>
      <c r="G15" s="25" t="s">
        <v>45</v>
      </c>
      <c r="H15" s="11"/>
      <c r="I15" s="27">
        <v>796.28</v>
      </c>
      <c r="J15" s="17"/>
      <c r="K15" s="28" t="s">
        <v>45</v>
      </c>
      <c r="L15" s="10">
        <f t="shared" si="1"/>
        <v>0</v>
      </c>
      <c r="M15" s="11">
        <f t="shared" si="2"/>
        <v>0</v>
      </c>
      <c r="N15" s="27">
        <f t="shared" si="3"/>
        <v>796.28</v>
      </c>
      <c r="O15" s="17">
        <f t="shared" si="4"/>
        <v>0</v>
      </c>
      <c r="P15" s="28">
        <f t="shared" si="5"/>
        <v>0</v>
      </c>
    </row>
    <row r="16" spans="1:16" x14ac:dyDescent="0.25">
      <c r="A16" s="132"/>
      <c r="B16" s="127"/>
      <c r="C16" s="101"/>
      <c r="D16" s="101"/>
      <c r="E16" s="8" t="s">
        <v>17</v>
      </c>
      <c r="F16" s="19" t="s">
        <v>24</v>
      </c>
      <c r="G16" s="10">
        <v>6111.59</v>
      </c>
      <c r="H16" s="11"/>
      <c r="I16" s="12"/>
      <c r="J16" s="13">
        <v>4038.84</v>
      </c>
      <c r="K16" s="14">
        <v>16633.509999999998</v>
      </c>
      <c r="L16" s="10">
        <f t="shared" si="1"/>
        <v>6111.59</v>
      </c>
      <c r="M16" s="11">
        <f t="shared" si="2"/>
        <v>0</v>
      </c>
      <c r="N16" s="12">
        <f t="shared" si="3"/>
        <v>0</v>
      </c>
      <c r="O16" s="13">
        <f t="shared" si="4"/>
        <v>4038.84</v>
      </c>
      <c r="P16" s="14">
        <f t="shared" si="5"/>
        <v>16633.509999999998</v>
      </c>
    </row>
    <row r="17" spans="1:16" ht="13.2" customHeight="1" x14ac:dyDescent="0.25">
      <c r="A17" s="130" t="s">
        <v>130</v>
      </c>
      <c r="B17" s="134">
        <v>5</v>
      </c>
      <c r="C17" s="93" t="s">
        <v>25</v>
      </c>
      <c r="D17" s="93" t="s">
        <v>26</v>
      </c>
      <c r="E17" s="90" t="s">
        <v>22</v>
      </c>
      <c r="F17" s="19" t="s">
        <v>23</v>
      </c>
      <c r="G17" s="15"/>
      <c r="H17" s="11"/>
      <c r="I17" s="12"/>
      <c r="J17" s="17"/>
      <c r="K17" s="18"/>
      <c r="L17" s="10">
        <f t="shared" si="1"/>
        <v>0</v>
      </c>
      <c r="M17" s="11">
        <f t="shared" si="2"/>
        <v>0</v>
      </c>
      <c r="N17" s="12">
        <f t="shared" si="3"/>
        <v>0</v>
      </c>
      <c r="O17" s="17">
        <f t="shared" si="4"/>
        <v>0</v>
      </c>
      <c r="P17" s="18">
        <f t="shared" si="5"/>
        <v>0</v>
      </c>
    </row>
    <row r="18" spans="1:16" x14ac:dyDescent="0.25">
      <c r="A18" s="131"/>
      <c r="B18" s="135"/>
      <c r="C18" s="94"/>
      <c r="D18" s="94"/>
      <c r="E18" s="92"/>
      <c r="F18" s="19" t="s">
        <v>92</v>
      </c>
      <c r="G18" s="15"/>
      <c r="H18" s="11"/>
      <c r="I18" s="12"/>
      <c r="J18" s="17"/>
      <c r="K18" s="18"/>
      <c r="L18" s="10">
        <f t="shared" si="1"/>
        <v>0</v>
      </c>
      <c r="M18" s="11">
        <f t="shared" si="2"/>
        <v>0</v>
      </c>
      <c r="N18" s="12">
        <f t="shared" si="3"/>
        <v>0</v>
      </c>
      <c r="O18" s="17">
        <f t="shared" si="4"/>
        <v>0</v>
      </c>
      <c r="P18" s="18">
        <f t="shared" si="5"/>
        <v>0</v>
      </c>
    </row>
    <row r="19" spans="1:16" x14ac:dyDescent="0.25">
      <c r="A19" s="131"/>
      <c r="B19" s="135"/>
      <c r="C19" s="94"/>
      <c r="D19" s="94"/>
      <c r="E19" s="8" t="s">
        <v>12</v>
      </c>
      <c r="F19" s="19" t="s">
        <v>23</v>
      </c>
      <c r="G19" s="10">
        <v>179.63</v>
      </c>
      <c r="H19" s="11"/>
      <c r="I19" s="27">
        <v>103</v>
      </c>
      <c r="J19" s="17"/>
      <c r="K19" s="14">
        <v>184.37</v>
      </c>
      <c r="L19" s="10">
        <f t="shared" si="1"/>
        <v>179.63</v>
      </c>
      <c r="M19" s="11">
        <f t="shared" si="2"/>
        <v>0</v>
      </c>
      <c r="N19" s="27">
        <f t="shared" si="3"/>
        <v>103</v>
      </c>
      <c r="O19" s="17">
        <f t="shared" si="4"/>
        <v>0</v>
      </c>
      <c r="P19" s="14">
        <f t="shared" si="5"/>
        <v>184.37</v>
      </c>
    </row>
    <row r="20" spans="1:16" x14ac:dyDescent="0.25">
      <c r="A20" s="131"/>
      <c r="B20" s="135"/>
      <c r="C20" s="94"/>
      <c r="D20" s="94"/>
      <c r="E20" s="8" t="s">
        <v>13</v>
      </c>
      <c r="F20" s="19" t="s">
        <v>23</v>
      </c>
      <c r="G20" s="25" t="s">
        <v>45</v>
      </c>
      <c r="H20" s="11"/>
      <c r="I20" s="27">
        <v>998.35</v>
      </c>
      <c r="J20" s="17"/>
      <c r="K20" s="28" t="s">
        <v>45</v>
      </c>
      <c r="L20" s="10">
        <f t="shared" si="1"/>
        <v>0</v>
      </c>
      <c r="M20" s="11">
        <f t="shared" si="2"/>
        <v>0</v>
      </c>
      <c r="N20" s="27">
        <f t="shared" si="3"/>
        <v>998.35</v>
      </c>
      <c r="O20" s="17">
        <f t="shared" si="4"/>
        <v>0</v>
      </c>
      <c r="P20" s="28">
        <f t="shared" si="5"/>
        <v>0</v>
      </c>
    </row>
    <row r="21" spans="1:16" x14ac:dyDescent="0.25">
      <c r="A21" s="132"/>
      <c r="B21" s="136"/>
      <c r="C21" s="95"/>
      <c r="D21" s="95"/>
      <c r="E21" s="8" t="s">
        <v>17</v>
      </c>
      <c r="F21" s="19" t="s">
        <v>24</v>
      </c>
      <c r="G21" s="10">
        <v>9997.2800000000007</v>
      </c>
      <c r="H21" s="11"/>
      <c r="I21" s="12"/>
      <c r="J21" s="13">
        <v>16598.93</v>
      </c>
      <c r="K21" s="14">
        <v>28062.560000000001</v>
      </c>
      <c r="L21" s="10">
        <f t="shared" si="1"/>
        <v>9997.2800000000007</v>
      </c>
      <c r="M21" s="11">
        <f t="shared" si="2"/>
        <v>0</v>
      </c>
      <c r="N21" s="12">
        <f t="shared" si="3"/>
        <v>0</v>
      </c>
      <c r="O21" s="13">
        <f t="shared" si="4"/>
        <v>16598.93</v>
      </c>
      <c r="P21" s="14">
        <f t="shared" si="5"/>
        <v>28062.560000000001</v>
      </c>
    </row>
    <row r="22" spans="1:16" x14ac:dyDescent="0.25">
      <c r="A22" s="108" t="s">
        <v>130</v>
      </c>
      <c r="B22" s="125">
        <v>6</v>
      </c>
      <c r="C22" s="93" t="s">
        <v>27</v>
      </c>
      <c r="D22" s="96" t="s">
        <v>28</v>
      </c>
      <c r="E22" s="84" t="s">
        <v>11</v>
      </c>
      <c r="F22" s="85"/>
      <c r="G22" s="15"/>
      <c r="H22" s="11"/>
      <c r="I22" s="12"/>
      <c r="J22" s="13">
        <v>36.26</v>
      </c>
      <c r="K22" s="18"/>
      <c r="L22" s="10">
        <f t="shared" si="1"/>
        <v>0</v>
      </c>
      <c r="M22" s="11">
        <f t="shared" si="2"/>
        <v>0</v>
      </c>
      <c r="N22" s="12">
        <f t="shared" si="3"/>
        <v>0</v>
      </c>
      <c r="O22" s="13">
        <f t="shared" si="4"/>
        <v>36.26</v>
      </c>
      <c r="P22" s="18">
        <f t="shared" si="5"/>
        <v>0</v>
      </c>
    </row>
    <row r="23" spans="1:16" x14ac:dyDescent="0.25">
      <c r="A23" s="108"/>
      <c r="B23" s="126"/>
      <c r="C23" s="94"/>
      <c r="D23" s="97"/>
      <c r="E23" s="86" t="s">
        <v>16</v>
      </c>
      <c r="F23" s="87"/>
      <c r="G23" s="10">
        <v>113</v>
      </c>
      <c r="H23" s="11"/>
      <c r="I23" s="12"/>
      <c r="J23" s="17"/>
      <c r="K23" s="14">
        <v>85.33</v>
      </c>
      <c r="L23" s="10">
        <f t="shared" si="1"/>
        <v>113</v>
      </c>
      <c r="M23" s="11">
        <f t="shared" si="2"/>
        <v>0</v>
      </c>
      <c r="N23" s="12">
        <f t="shared" si="3"/>
        <v>0</v>
      </c>
      <c r="O23" s="17">
        <f t="shared" si="4"/>
        <v>0</v>
      </c>
      <c r="P23" s="14">
        <f t="shared" si="5"/>
        <v>85.33</v>
      </c>
    </row>
    <row r="24" spans="1:16" x14ac:dyDescent="0.25">
      <c r="A24" s="108"/>
      <c r="B24" s="126"/>
      <c r="C24" s="94"/>
      <c r="D24" s="97"/>
      <c r="E24" s="88" t="s">
        <v>13</v>
      </c>
      <c r="F24" s="89"/>
      <c r="G24" s="25" t="s">
        <v>45</v>
      </c>
      <c r="H24" s="11"/>
      <c r="I24" s="27">
        <v>230.47</v>
      </c>
      <c r="J24" s="17"/>
      <c r="K24" s="28" t="s">
        <v>45</v>
      </c>
      <c r="L24" s="10">
        <f t="shared" si="1"/>
        <v>0</v>
      </c>
      <c r="M24" s="11">
        <f t="shared" si="2"/>
        <v>0</v>
      </c>
      <c r="N24" s="27">
        <f t="shared" si="3"/>
        <v>230.47</v>
      </c>
      <c r="O24" s="17">
        <f t="shared" si="4"/>
        <v>0</v>
      </c>
      <c r="P24" s="28">
        <f t="shared" si="5"/>
        <v>0</v>
      </c>
    </row>
    <row r="25" spans="1:16" x14ac:dyDescent="0.25">
      <c r="A25" s="108"/>
      <c r="B25" s="127"/>
      <c r="C25" s="95"/>
      <c r="D25" s="98"/>
      <c r="E25" s="88" t="s">
        <v>17</v>
      </c>
      <c r="F25" s="89"/>
      <c r="G25" s="10">
        <v>32</v>
      </c>
      <c r="H25" s="11"/>
      <c r="I25" s="12"/>
      <c r="J25" s="17"/>
      <c r="K25" s="14">
        <v>12.33</v>
      </c>
      <c r="L25" s="10">
        <f t="shared" si="1"/>
        <v>32</v>
      </c>
      <c r="M25" s="11">
        <f t="shared" si="2"/>
        <v>0</v>
      </c>
      <c r="N25" s="12">
        <f t="shared" si="3"/>
        <v>0</v>
      </c>
      <c r="O25" s="17">
        <f t="shared" si="4"/>
        <v>0</v>
      </c>
      <c r="P25" s="14">
        <f t="shared" si="5"/>
        <v>12.33</v>
      </c>
    </row>
    <row r="26" spans="1:16" x14ac:dyDescent="0.25">
      <c r="A26" s="108" t="s">
        <v>130</v>
      </c>
      <c r="B26" s="125">
        <v>7</v>
      </c>
      <c r="C26" s="90" t="s">
        <v>29</v>
      </c>
      <c r="D26" s="81" t="s">
        <v>30</v>
      </c>
      <c r="E26" s="84" t="s">
        <v>11</v>
      </c>
      <c r="F26" s="85"/>
      <c r="G26" s="15"/>
      <c r="H26" s="11"/>
      <c r="I26" s="27">
        <v>100</v>
      </c>
      <c r="J26" s="13">
        <v>99.76</v>
      </c>
      <c r="K26" s="18"/>
      <c r="L26" s="10">
        <f t="shared" si="1"/>
        <v>0</v>
      </c>
      <c r="M26" s="11">
        <f t="shared" si="2"/>
        <v>0</v>
      </c>
      <c r="N26" s="27">
        <f t="shared" si="3"/>
        <v>100</v>
      </c>
      <c r="O26" s="13">
        <f t="shared" si="4"/>
        <v>99.76</v>
      </c>
      <c r="P26" s="18">
        <f t="shared" si="5"/>
        <v>0</v>
      </c>
    </row>
    <row r="27" spans="1:16" x14ac:dyDescent="0.25">
      <c r="A27" s="108"/>
      <c r="B27" s="126"/>
      <c r="C27" s="91"/>
      <c r="D27" s="82"/>
      <c r="E27" s="86" t="s">
        <v>16</v>
      </c>
      <c r="F27" s="87"/>
      <c r="G27" s="10">
        <v>99.98</v>
      </c>
      <c r="H27" s="11"/>
      <c r="I27" s="12"/>
      <c r="J27" s="17"/>
      <c r="K27" s="14">
        <v>98.33</v>
      </c>
      <c r="L27" s="10">
        <f t="shared" si="1"/>
        <v>99.98</v>
      </c>
      <c r="M27" s="11">
        <f t="shared" si="2"/>
        <v>0</v>
      </c>
      <c r="N27" s="12">
        <f t="shared" si="3"/>
        <v>0</v>
      </c>
      <c r="O27" s="17">
        <f t="shared" si="4"/>
        <v>0</v>
      </c>
      <c r="P27" s="14">
        <f t="shared" si="5"/>
        <v>98.33</v>
      </c>
    </row>
    <row r="28" spans="1:16" x14ac:dyDescent="0.25">
      <c r="A28" s="108"/>
      <c r="B28" s="126"/>
      <c r="C28" s="91"/>
      <c r="D28" s="82"/>
      <c r="E28" s="88" t="s">
        <v>13</v>
      </c>
      <c r="F28" s="89"/>
      <c r="G28" s="25" t="s">
        <v>45</v>
      </c>
      <c r="H28" s="11"/>
      <c r="I28" s="12"/>
      <c r="J28" s="17"/>
      <c r="K28" s="28" t="s">
        <v>45</v>
      </c>
      <c r="L28" s="10">
        <f t="shared" si="1"/>
        <v>0</v>
      </c>
      <c r="M28" s="11">
        <f t="shared" si="2"/>
        <v>0</v>
      </c>
      <c r="N28" s="12">
        <f t="shared" si="3"/>
        <v>0</v>
      </c>
      <c r="O28" s="17">
        <f t="shared" si="4"/>
        <v>0</v>
      </c>
      <c r="P28" s="28">
        <f t="shared" si="5"/>
        <v>0</v>
      </c>
    </row>
    <row r="29" spans="1:16" x14ac:dyDescent="0.25">
      <c r="A29" s="108"/>
      <c r="B29" s="127"/>
      <c r="C29" s="92"/>
      <c r="D29" s="83"/>
      <c r="E29" s="88" t="s">
        <v>17</v>
      </c>
      <c r="F29" s="89"/>
      <c r="G29" s="10">
        <v>99.94</v>
      </c>
      <c r="H29" s="11"/>
      <c r="I29" s="12"/>
      <c r="J29" s="17"/>
      <c r="K29" s="14">
        <v>99.95</v>
      </c>
      <c r="L29" s="10">
        <f t="shared" si="1"/>
        <v>99.94</v>
      </c>
      <c r="M29" s="11">
        <f t="shared" si="2"/>
        <v>0</v>
      </c>
      <c r="N29" s="12">
        <f t="shared" si="3"/>
        <v>0</v>
      </c>
      <c r="O29" s="17">
        <f t="shared" si="4"/>
        <v>0</v>
      </c>
      <c r="P29" s="14">
        <f t="shared" si="5"/>
        <v>99.95</v>
      </c>
    </row>
    <row r="30" spans="1:16" x14ac:dyDescent="0.25">
      <c r="A30" s="108" t="s">
        <v>130</v>
      </c>
      <c r="B30" s="125">
        <v>8</v>
      </c>
      <c r="C30" s="78" t="s">
        <v>31</v>
      </c>
      <c r="D30" s="81" t="s">
        <v>32</v>
      </c>
      <c r="E30" s="84" t="s">
        <v>11</v>
      </c>
      <c r="F30" s="85"/>
      <c r="G30" s="15"/>
      <c r="H30" s="11"/>
      <c r="I30" s="27">
        <v>2.5</v>
      </c>
      <c r="J30" s="13">
        <v>0.35</v>
      </c>
      <c r="K30" s="18"/>
      <c r="L30" s="10">
        <f t="shared" si="1"/>
        <v>0</v>
      </c>
      <c r="M30" s="11">
        <f t="shared" si="2"/>
        <v>0</v>
      </c>
      <c r="N30" s="27">
        <f t="shared" si="3"/>
        <v>2.5</v>
      </c>
      <c r="O30" s="13">
        <f t="shared" si="4"/>
        <v>0.35</v>
      </c>
      <c r="P30" s="18">
        <f t="shared" si="5"/>
        <v>0</v>
      </c>
    </row>
    <row r="31" spans="1:16" x14ac:dyDescent="0.25">
      <c r="A31" s="108"/>
      <c r="B31" s="126"/>
      <c r="C31" s="79"/>
      <c r="D31" s="82"/>
      <c r="E31" s="86" t="s">
        <v>16</v>
      </c>
      <c r="F31" s="87"/>
      <c r="G31" s="10">
        <v>3.62</v>
      </c>
      <c r="H31" s="11"/>
      <c r="I31" s="12"/>
      <c r="J31" s="17"/>
      <c r="K31" s="14">
        <v>2.34</v>
      </c>
      <c r="L31" s="10">
        <f t="shared" si="1"/>
        <v>3.62</v>
      </c>
      <c r="M31" s="11">
        <f t="shared" si="2"/>
        <v>0</v>
      </c>
      <c r="N31" s="12">
        <f t="shared" si="3"/>
        <v>0</v>
      </c>
      <c r="O31" s="17">
        <f t="shared" si="4"/>
        <v>0</v>
      </c>
      <c r="P31" s="14">
        <f t="shared" si="5"/>
        <v>2.34</v>
      </c>
    </row>
    <row r="32" spans="1:16" x14ac:dyDescent="0.25">
      <c r="A32" s="108"/>
      <c r="B32" s="126"/>
      <c r="C32" s="79"/>
      <c r="D32" s="82"/>
      <c r="E32" s="88" t="s">
        <v>13</v>
      </c>
      <c r="F32" s="89"/>
      <c r="G32" s="25" t="s">
        <v>45</v>
      </c>
      <c r="H32" s="11"/>
      <c r="I32" s="12"/>
      <c r="J32" s="17"/>
      <c r="K32" s="28" t="s">
        <v>45</v>
      </c>
      <c r="L32" s="10">
        <f t="shared" si="1"/>
        <v>0</v>
      </c>
      <c r="M32" s="11">
        <f t="shared" si="2"/>
        <v>0</v>
      </c>
      <c r="N32" s="12">
        <f t="shared" si="3"/>
        <v>0</v>
      </c>
      <c r="O32" s="17">
        <f t="shared" si="4"/>
        <v>0</v>
      </c>
      <c r="P32" s="28">
        <f t="shared" si="5"/>
        <v>0</v>
      </c>
    </row>
    <row r="33" spans="1:16" x14ac:dyDescent="0.25">
      <c r="A33" s="108"/>
      <c r="B33" s="127"/>
      <c r="C33" s="80"/>
      <c r="D33" s="83"/>
      <c r="E33" s="88" t="s">
        <v>17</v>
      </c>
      <c r="F33" s="89"/>
      <c r="G33" s="10">
        <v>0.33</v>
      </c>
      <c r="H33" s="11"/>
      <c r="I33" s="12"/>
      <c r="J33" s="17"/>
      <c r="K33" s="14">
        <v>0.23</v>
      </c>
      <c r="L33" s="10">
        <f t="shared" si="1"/>
        <v>0.33</v>
      </c>
      <c r="M33" s="11">
        <f t="shared" si="2"/>
        <v>0</v>
      </c>
      <c r="N33" s="12">
        <f t="shared" si="3"/>
        <v>0</v>
      </c>
      <c r="O33" s="17">
        <f t="shared" si="4"/>
        <v>0</v>
      </c>
      <c r="P33" s="14">
        <f t="shared" si="5"/>
        <v>0.23</v>
      </c>
    </row>
  </sheetData>
  <mergeCells count="57">
    <mergeCell ref="B4:B7"/>
    <mergeCell ref="C4:C7"/>
    <mergeCell ref="D4:D7"/>
    <mergeCell ref="E4:F4"/>
    <mergeCell ref="E5:F5"/>
    <mergeCell ref="B2:B3"/>
    <mergeCell ref="C2:C3"/>
    <mergeCell ref="D2:D3"/>
    <mergeCell ref="E2:F2"/>
    <mergeCell ref="E3:F3"/>
    <mergeCell ref="D12:D16"/>
    <mergeCell ref="E12:E13"/>
    <mergeCell ref="E17:E18"/>
    <mergeCell ref="E6:F6"/>
    <mergeCell ref="E7:F7"/>
    <mergeCell ref="D8:D11"/>
    <mergeCell ref="E8:F8"/>
    <mergeCell ref="E9:F9"/>
    <mergeCell ref="E10:F10"/>
    <mergeCell ref="E11:F11"/>
    <mergeCell ref="D30:D33"/>
    <mergeCell ref="E30:F30"/>
    <mergeCell ref="E31:F31"/>
    <mergeCell ref="E32:F32"/>
    <mergeCell ref="E33:F33"/>
    <mergeCell ref="A30:A33"/>
    <mergeCell ref="C17:C21"/>
    <mergeCell ref="A2:A3"/>
    <mergeCell ref="A4:A7"/>
    <mergeCell ref="A8:A11"/>
    <mergeCell ref="B30:B33"/>
    <mergeCell ref="C30:C33"/>
    <mergeCell ref="B26:B29"/>
    <mergeCell ref="C26:C29"/>
    <mergeCell ref="B22:B25"/>
    <mergeCell ref="C22:C25"/>
    <mergeCell ref="B17:B21"/>
    <mergeCell ref="B12:B16"/>
    <mergeCell ref="C12:C16"/>
    <mergeCell ref="B8:B11"/>
    <mergeCell ref="C8:C11"/>
    <mergeCell ref="E1:F1"/>
    <mergeCell ref="A12:A16"/>
    <mergeCell ref="A17:A21"/>
    <mergeCell ref="A22:A25"/>
    <mergeCell ref="A26:A29"/>
    <mergeCell ref="E29:F29"/>
    <mergeCell ref="E22:F22"/>
    <mergeCell ref="E23:F23"/>
    <mergeCell ref="E24:F24"/>
    <mergeCell ref="E25:F25"/>
    <mergeCell ref="D26:D29"/>
    <mergeCell ref="E26:F26"/>
    <mergeCell ref="E27:F27"/>
    <mergeCell ref="E28:F28"/>
    <mergeCell ref="D22:D25"/>
    <mergeCell ref="D17:D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W84"/>
  <sheetViews>
    <sheetView workbookViewId="0">
      <selection activeCell="Q86" sqref="Q86"/>
    </sheetView>
  </sheetViews>
  <sheetFormatPr defaultRowHeight="13.2" x14ac:dyDescent="0.25"/>
  <cols>
    <col min="1" max="1" width="15.77734375" customWidth="1"/>
  </cols>
  <sheetData>
    <row r="1" spans="1:23" ht="40.799999999999997" x14ac:dyDescent="0.25">
      <c r="A1" s="31" t="s">
        <v>115</v>
      </c>
      <c r="B1" s="32" t="s">
        <v>0</v>
      </c>
      <c r="C1" s="66" t="s">
        <v>1</v>
      </c>
      <c r="D1" s="67" t="s">
        <v>2</v>
      </c>
      <c r="E1" s="109" t="s">
        <v>3</v>
      </c>
      <c r="F1" s="109"/>
      <c r="G1" s="34" t="s">
        <v>4</v>
      </c>
      <c r="H1" s="35" t="s">
        <v>5</v>
      </c>
      <c r="I1" s="36" t="s">
        <v>6</v>
      </c>
      <c r="J1" s="37" t="s">
        <v>7</v>
      </c>
      <c r="K1" s="38" t="s">
        <v>8</v>
      </c>
      <c r="L1" s="34" t="s">
        <v>4</v>
      </c>
      <c r="M1" s="35" t="s">
        <v>5</v>
      </c>
      <c r="N1" s="36" t="s">
        <v>6</v>
      </c>
      <c r="O1" s="37" t="s">
        <v>7</v>
      </c>
      <c r="P1" s="38" t="s">
        <v>8</v>
      </c>
      <c r="S1" s="34" t="s">
        <v>4</v>
      </c>
      <c r="T1" s="35" t="s">
        <v>5</v>
      </c>
      <c r="U1" s="36" t="s">
        <v>6</v>
      </c>
      <c r="V1" s="37" t="s">
        <v>7</v>
      </c>
      <c r="W1" s="38" t="s">
        <v>8</v>
      </c>
    </row>
    <row r="2" spans="1:23" x14ac:dyDescent="0.25">
      <c r="A2" s="107" t="s">
        <v>131</v>
      </c>
      <c r="B2" s="110">
        <v>1</v>
      </c>
      <c r="C2" s="118" t="s">
        <v>9</v>
      </c>
      <c r="D2" s="118" t="s">
        <v>33</v>
      </c>
      <c r="E2" s="113" t="s">
        <v>11</v>
      </c>
      <c r="F2" s="113"/>
      <c r="G2" s="39">
        <v>100</v>
      </c>
      <c r="H2" s="40"/>
      <c r="I2" s="41"/>
      <c r="J2" s="42">
        <v>97.32</v>
      </c>
      <c r="K2" s="43">
        <v>99.98</v>
      </c>
      <c r="L2" s="39">
        <f>IF(OR(G2="NA", G2=0),0,(G2*1))</f>
        <v>100</v>
      </c>
      <c r="M2" s="40">
        <f t="shared" ref="M2:P2" si="0">IF(OR(H2="NA", H2=0),0,(H2*1))</f>
        <v>0</v>
      </c>
      <c r="N2" s="41">
        <f t="shared" si="0"/>
        <v>0</v>
      </c>
      <c r="O2" s="42">
        <f t="shared" si="0"/>
        <v>97.32</v>
      </c>
      <c r="P2" s="43">
        <f t="shared" si="0"/>
        <v>99.98</v>
      </c>
      <c r="S2" s="39">
        <v>100</v>
      </c>
      <c r="T2" s="40"/>
      <c r="U2" s="41"/>
      <c r="V2" s="42">
        <v>97.32</v>
      </c>
      <c r="W2" s="43">
        <v>99.98</v>
      </c>
    </row>
    <row r="3" spans="1:23" x14ac:dyDescent="0.25">
      <c r="A3" s="108"/>
      <c r="B3" s="110"/>
      <c r="C3" s="118"/>
      <c r="D3" s="118"/>
      <c r="E3" s="114" t="s">
        <v>12</v>
      </c>
      <c r="F3" s="114"/>
      <c r="G3" s="44"/>
      <c r="H3" s="68">
        <v>100</v>
      </c>
      <c r="I3" s="41"/>
      <c r="J3" s="46"/>
      <c r="K3" s="47"/>
      <c r="L3" s="39">
        <f t="shared" ref="L3:L66" si="1">IF(OR(G3="NA", G3=0),0,(G3*1))</f>
        <v>0</v>
      </c>
      <c r="M3" s="68">
        <f t="shared" ref="M3:M66" si="2">IF(OR(H3="NA", H3=0),0,(H3*1))</f>
        <v>100</v>
      </c>
      <c r="N3" s="41">
        <f t="shared" ref="N3:N66" si="3">IF(OR(I3="NA", I3=0),0,(I3*1))</f>
        <v>0</v>
      </c>
      <c r="O3" s="46">
        <f t="shared" ref="O3:O66" si="4">IF(OR(J3="NA", J3=0),0,(J3*1))</f>
        <v>0</v>
      </c>
      <c r="P3" s="47">
        <f t="shared" ref="P3:P66" si="5">IF(OR(K3="NA", K3=0),0,(K3*1))</f>
        <v>0</v>
      </c>
      <c r="S3" s="44"/>
      <c r="T3" s="68">
        <v>100</v>
      </c>
      <c r="U3" s="41"/>
      <c r="V3" s="46"/>
      <c r="W3" s="47"/>
    </row>
    <row r="4" spans="1:23" x14ac:dyDescent="0.25">
      <c r="A4" s="108"/>
      <c r="B4" s="110"/>
      <c r="C4" s="118"/>
      <c r="D4" s="118"/>
      <c r="E4" s="114" t="s">
        <v>13</v>
      </c>
      <c r="F4" s="114"/>
      <c r="G4" s="44"/>
      <c r="H4" s="68">
        <v>100</v>
      </c>
      <c r="I4" s="41"/>
      <c r="J4" s="46"/>
      <c r="K4" s="47"/>
      <c r="L4" s="39">
        <f t="shared" si="1"/>
        <v>0</v>
      </c>
      <c r="M4" s="68">
        <f t="shared" si="2"/>
        <v>100</v>
      </c>
      <c r="N4" s="41">
        <f t="shared" si="3"/>
        <v>0</v>
      </c>
      <c r="O4" s="46">
        <f t="shared" si="4"/>
        <v>0</v>
      </c>
      <c r="P4" s="47">
        <f t="shared" si="5"/>
        <v>0</v>
      </c>
      <c r="S4" s="44"/>
      <c r="T4" s="68">
        <v>100</v>
      </c>
      <c r="U4" s="41"/>
      <c r="V4" s="46"/>
      <c r="W4" s="47"/>
    </row>
    <row r="5" spans="1:23" x14ac:dyDescent="0.25">
      <c r="A5" s="108" t="s">
        <v>131</v>
      </c>
      <c r="B5" s="110">
        <v>2</v>
      </c>
      <c r="C5" s="114" t="s">
        <v>14</v>
      </c>
      <c r="D5" s="114" t="s">
        <v>15</v>
      </c>
      <c r="E5" s="113" t="s">
        <v>11</v>
      </c>
      <c r="F5" s="113"/>
      <c r="G5" s="44"/>
      <c r="H5" s="40"/>
      <c r="I5" s="41"/>
      <c r="J5" s="42">
        <v>100</v>
      </c>
      <c r="K5" s="47"/>
      <c r="L5" s="39">
        <f t="shared" si="1"/>
        <v>0</v>
      </c>
      <c r="M5" s="40">
        <f t="shared" si="2"/>
        <v>0</v>
      </c>
      <c r="N5" s="41">
        <f t="shared" si="3"/>
        <v>0</v>
      </c>
      <c r="O5" s="42">
        <f t="shared" si="4"/>
        <v>100</v>
      </c>
      <c r="P5" s="47">
        <f t="shared" si="5"/>
        <v>0</v>
      </c>
      <c r="S5" s="44"/>
      <c r="T5" s="40"/>
      <c r="U5" s="41"/>
      <c r="V5" s="42">
        <v>100</v>
      </c>
      <c r="W5" s="47"/>
    </row>
    <row r="6" spans="1:23" x14ac:dyDescent="0.25">
      <c r="A6" s="108"/>
      <c r="B6" s="110"/>
      <c r="C6" s="114"/>
      <c r="D6" s="114"/>
      <c r="E6" s="111" t="s">
        <v>16</v>
      </c>
      <c r="F6" s="111"/>
      <c r="G6" s="39">
        <v>100</v>
      </c>
      <c r="H6" s="68">
        <v>100</v>
      </c>
      <c r="I6" s="41"/>
      <c r="J6" s="46"/>
      <c r="K6" s="43">
        <v>100</v>
      </c>
      <c r="L6" s="39">
        <f t="shared" si="1"/>
        <v>100</v>
      </c>
      <c r="M6" s="68">
        <f t="shared" si="2"/>
        <v>100</v>
      </c>
      <c r="N6" s="41">
        <f t="shared" si="3"/>
        <v>0</v>
      </c>
      <c r="O6" s="46">
        <f t="shared" si="4"/>
        <v>0</v>
      </c>
      <c r="P6" s="43">
        <f t="shared" si="5"/>
        <v>100</v>
      </c>
      <c r="S6" s="39">
        <v>100</v>
      </c>
      <c r="T6" s="68">
        <v>100</v>
      </c>
      <c r="U6" s="41"/>
      <c r="V6" s="46"/>
      <c r="W6" s="43">
        <v>100</v>
      </c>
    </row>
    <row r="7" spans="1:23" x14ac:dyDescent="0.25">
      <c r="A7" s="108"/>
      <c r="B7" s="110"/>
      <c r="C7" s="114"/>
      <c r="D7" s="114"/>
      <c r="E7" s="114" t="s">
        <v>13</v>
      </c>
      <c r="F7" s="114"/>
      <c r="G7" s="39">
        <v>100</v>
      </c>
      <c r="H7" s="68">
        <v>100</v>
      </c>
      <c r="I7" s="41"/>
      <c r="J7" s="46"/>
      <c r="K7" s="43">
        <v>100</v>
      </c>
      <c r="L7" s="39">
        <f t="shared" si="1"/>
        <v>100</v>
      </c>
      <c r="M7" s="68">
        <f t="shared" si="2"/>
        <v>100</v>
      </c>
      <c r="N7" s="41">
        <f t="shared" si="3"/>
        <v>0</v>
      </c>
      <c r="O7" s="46">
        <f t="shared" si="4"/>
        <v>0</v>
      </c>
      <c r="P7" s="43">
        <f t="shared" si="5"/>
        <v>100</v>
      </c>
      <c r="S7" s="39">
        <v>100</v>
      </c>
      <c r="T7" s="68">
        <v>100</v>
      </c>
      <c r="U7" s="41"/>
      <c r="V7" s="46"/>
      <c r="W7" s="43">
        <v>100</v>
      </c>
    </row>
    <row r="8" spans="1:23" x14ac:dyDescent="0.25">
      <c r="A8" s="108"/>
      <c r="B8" s="110"/>
      <c r="C8" s="114"/>
      <c r="D8" s="114"/>
      <c r="E8" s="114" t="s">
        <v>17</v>
      </c>
      <c r="F8" s="114"/>
      <c r="G8" s="39">
        <v>100</v>
      </c>
      <c r="H8" s="40"/>
      <c r="I8" s="41"/>
      <c r="J8" s="46"/>
      <c r="K8" s="43">
        <v>100</v>
      </c>
      <c r="L8" s="39">
        <f t="shared" si="1"/>
        <v>100</v>
      </c>
      <c r="M8" s="40">
        <f t="shared" si="2"/>
        <v>0</v>
      </c>
      <c r="N8" s="41">
        <f t="shared" si="3"/>
        <v>0</v>
      </c>
      <c r="O8" s="46">
        <f t="shared" si="4"/>
        <v>0</v>
      </c>
      <c r="P8" s="43">
        <f t="shared" si="5"/>
        <v>100</v>
      </c>
      <c r="S8" s="39">
        <v>100</v>
      </c>
      <c r="T8" s="40"/>
      <c r="U8" s="41"/>
      <c r="V8" s="46"/>
      <c r="W8" s="43">
        <v>100</v>
      </c>
    </row>
    <row r="9" spans="1:23" x14ac:dyDescent="0.25">
      <c r="A9" s="108" t="s">
        <v>131</v>
      </c>
      <c r="B9" s="110">
        <v>3</v>
      </c>
      <c r="C9" s="114" t="s">
        <v>18</v>
      </c>
      <c r="D9" s="114" t="s">
        <v>19</v>
      </c>
      <c r="E9" s="113" t="s">
        <v>11</v>
      </c>
      <c r="F9" s="113"/>
      <c r="G9" s="44"/>
      <c r="H9" s="40"/>
      <c r="I9" s="41"/>
      <c r="J9" s="42">
        <v>100</v>
      </c>
      <c r="K9" s="47"/>
      <c r="L9" s="39">
        <f t="shared" si="1"/>
        <v>0</v>
      </c>
      <c r="M9" s="40">
        <f t="shared" si="2"/>
        <v>0</v>
      </c>
      <c r="N9" s="41">
        <f t="shared" si="3"/>
        <v>0</v>
      </c>
      <c r="O9" s="42">
        <f t="shared" si="4"/>
        <v>100</v>
      </c>
      <c r="P9" s="47">
        <f t="shared" si="5"/>
        <v>0</v>
      </c>
      <c r="S9" s="44"/>
      <c r="T9" s="40"/>
      <c r="U9" s="41"/>
      <c r="V9" s="42">
        <v>100</v>
      </c>
      <c r="W9" s="47"/>
    </row>
    <row r="10" spans="1:23" x14ac:dyDescent="0.25">
      <c r="A10" s="108"/>
      <c r="B10" s="110"/>
      <c r="C10" s="114"/>
      <c r="D10" s="114"/>
      <c r="E10" s="111" t="s">
        <v>16</v>
      </c>
      <c r="F10" s="111"/>
      <c r="G10" s="39">
        <v>100</v>
      </c>
      <c r="H10" s="68">
        <v>100</v>
      </c>
      <c r="I10" s="41"/>
      <c r="J10" s="46"/>
      <c r="K10" s="43">
        <v>100</v>
      </c>
      <c r="L10" s="39">
        <f t="shared" si="1"/>
        <v>100</v>
      </c>
      <c r="M10" s="68">
        <f t="shared" si="2"/>
        <v>100</v>
      </c>
      <c r="N10" s="41">
        <f t="shared" si="3"/>
        <v>0</v>
      </c>
      <c r="O10" s="46">
        <f t="shared" si="4"/>
        <v>0</v>
      </c>
      <c r="P10" s="43">
        <f t="shared" si="5"/>
        <v>100</v>
      </c>
      <c r="S10" s="39">
        <v>100</v>
      </c>
      <c r="T10" s="68">
        <v>100</v>
      </c>
      <c r="U10" s="41"/>
      <c r="V10" s="46"/>
      <c r="W10" s="43">
        <v>100</v>
      </c>
    </row>
    <row r="11" spans="1:23" x14ac:dyDescent="0.25">
      <c r="A11" s="108"/>
      <c r="B11" s="110"/>
      <c r="C11" s="114"/>
      <c r="D11" s="114"/>
      <c r="E11" s="114" t="s">
        <v>13</v>
      </c>
      <c r="F11" s="114"/>
      <c r="G11" s="39">
        <v>100</v>
      </c>
      <c r="H11" s="68">
        <v>100</v>
      </c>
      <c r="I11" s="41"/>
      <c r="J11" s="46"/>
      <c r="K11" s="43">
        <v>100</v>
      </c>
      <c r="L11" s="39">
        <f t="shared" si="1"/>
        <v>100</v>
      </c>
      <c r="M11" s="68">
        <f t="shared" si="2"/>
        <v>100</v>
      </c>
      <c r="N11" s="41">
        <f t="shared" si="3"/>
        <v>0</v>
      </c>
      <c r="O11" s="46">
        <f t="shared" si="4"/>
        <v>0</v>
      </c>
      <c r="P11" s="43">
        <f t="shared" si="5"/>
        <v>100</v>
      </c>
      <c r="S11" s="39">
        <v>100</v>
      </c>
      <c r="T11" s="68">
        <v>100</v>
      </c>
      <c r="U11" s="41"/>
      <c r="V11" s="46"/>
      <c r="W11" s="43">
        <v>100</v>
      </c>
    </row>
    <row r="12" spans="1:23" x14ac:dyDescent="0.25">
      <c r="A12" s="108"/>
      <c r="B12" s="110"/>
      <c r="C12" s="114"/>
      <c r="D12" s="114"/>
      <c r="E12" s="114" t="s">
        <v>17</v>
      </c>
      <c r="F12" s="114"/>
      <c r="G12" s="39">
        <v>100</v>
      </c>
      <c r="H12" s="40"/>
      <c r="I12" s="41"/>
      <c r="J12" s="46"/>
      <c r="K12" s="43">
        <v>100</v>
      </c>
      <c r="L12" s="39">
        <f t="shared" si="1"/>
        <v>100</v>
      </c>
      <c r="M12" s="40">
        <f t="shared" si="2"/>
        <v>0</v>
      </c>
      <c r="N12" s="41">
        <f t="shared" si="3"/>
        <v>0</v>
      </c>
      <c r="O12" s="46">
        <f t="shared" si="4"/>
        <v>0</v>
      </c>
      <c r="P12" s="43">
        <f t="shared" si="5"/>
        <v>100</v>
      </c>
      <c r="S12" s="39">
        <v>100</v>
      </c>
      <c r="T12" s="40"/>
      <c r="U12" s="41"/>
      <c r="V12" s="46"/>
      <c r="W12" s="43">
        <v>100</v>
      </c>
    </row>
    <row r="13" spans="1:23" ht="13.2" customHeight="1" x14ac:dyDescent="0.25">
      <c r="A13" s="108" t="s">
        <v>131</v>
      </c>
      <c r="B13" s="110">
        <v>4</v>
      </c>
      <c r="C13" s="114" t="s">
        <v>20</v>
      </c>
      <c r="D13" s="114" t="s">
        <v>21</v>
      </c>
      <c r="E13" s="49" t="s">
        <v>22</v>
      </c>
      <c r="F13" s="50" t="s">
        <v>23</v>
      </c>
      <c r="G13" s="44"/>
      <c r="H13" s="40"/>
      <c r="I13" s="41"/>
      <c r="J13" s="46"/>
      <c r="K13" s="47"/>
      <c r="L13" s="39">
        <f t="shared" si="1"/>
        <v>0</v>
      </c>
      <c r="M13" s="40">
        <f t="shared" si="2"/>
        <v>0</v>
      </c>
      <c r="N13" s="41">
        <f t="shared" si="3"/>
        <v>0</v>
      </c>
      <c r="O13" s="46">
        <f t="shared" si="4"/>
        <v>0</v>
      </c>
      <c r="P13" s="47">
        <f t="shared" si="5"/>
        <v>0</v>
      </c>
      <c r="S13" s="44"/>
      <c r="T13" s="40"/>
      <c r="U13" s="41"/>
      <c r="V13" s="46"/>
      <c r="W13" s="47"/>
    </row>
    <row r="14" spans="1:23" ht="20.399999999999999" x14ac:dyDescent="0.25">
      <c r="A14" s="108"/>
      <c r="B14" s="110"/>
      <c r="C14" s="114"/>
      <c r="D14" s="114"/>
      <c r="E14" s="114" t="s">
        <v>12</v>
      </c>
      <c r="F14" s="50" t="s">
        <v>23</v>
      </c>
      <c r="G14" s="39">
        <v>107.94</v>
      </c>
      <c r="H14" s="51">
        <v>43.4</v>
      </c>
      <c r="I14" s="41"/>
      <c r="J14" s="46"/>
      <c r="K14" s="43">
        <v>192.96</v>
      </c>
      <c r="L14" s="39">
        <f t="shared" si="1"/>
        <v>107.94</v>
      </c>
      <c r="M14" s="51">
        <f t="shared" si="2"/>
        <v>43.4</v>
      </c>
      <c r="N14" s="41">
        <f t="shared" si="3"/>
        <v>0</v>
      </c>
      <c r="O14" s="46">
        <f t="shared" si="4"/>
        <v>0</v>
      </c>
      <c r="P14" s="43">
        <f t="shared" si="5"/>
        <v>192.96</v>
      </c>
      <c r="S14" s="39">
        <v>107.94</v>
      </c>
      <c r="T14" s="51" t="s">
        <v>93</v>
      </c>
      <c r="U14" s="41"/>
      <c r="V14" s="46"/>
      <c r="W14" s="43">
        <v>192.96</v>
      </c>
    </row>
    <row r="15" spans="1:23" ht="20.399999999999999" x14ac:dyDescent="0.25">
      <c r="A15" s="108"/>
      <c r="B15" s="110"/>
      <c r="C15" s="114"/>
      <c r="D15" s="114"/>
      <c r="E15" s="114"/>
      <c r="F15" s="116"/>
      <c r="G15" s="44"/>
      <c r="H15" s="51">
        <v>43.4</v>
      </c>
      <c r="I15" s="41"/>
      <c r="J15" s="46"/>
      <c r="K15" s="47"/>
      <c r="L15" s="39">
        <f t="shared" si="1"/>
        <v>0</v>
      </c>
      <c r="M15" s="51">
        <f t="shared" si="2"/>
        <v>43.4</v>
      </c>
      <c r="N15" s="41">
        <f t="shared" si="3"/>
        <v>0</v>
      </c>
      <c r="O15" s="46">
        <f t="shared" si="4"/>
        <v>0</v>
      </c>
      <c r="P15" s="47">
        <f t="shared" si="5"/>
        <v>0</v>
      </c>
      <c r="S15" s="44"/>
      <c r="T15" s="51" t="s">
        <v>93</v>
      </c>
      <c r="U15" s="41"/>
      <c r="V15" s="46"/>
      <c r="W15" s="47"/>
    </row>
    <row r="16" spans="1:23" ht="20.399999999999999" x14ac:dyDescent="0.25">
      <c r="A16" s="108"/>
      <c r="B16" s="110"/>
      <c r="C16" s="114"/>
      <c r="D16" s="114"/>
      <c r="E16" s="114"/>
      <c r="F16" s="116"/>
      <c r="G16" s="44"/>
      <c r="H16" s="51">
        <v>43.4</v>
      </c>
      <c r="I16" s="41"/>
      <c r="J16" s="46"/>
      <c r="K16" s="47"/>
      <c r="L16" s="39">
        <f t="shared" si="1"/>
        <v>0</v>
      </c>
      <c r="M16" s="51">
        <f t="shared" si="2"/>
        <v>43.4</v>
      </c>
      <c r="N16" s="41">
        <f t="shared" si="3"/>
        <v>0</v>
      </c>
      <c r="O16" s="46">
        <f t="shared" si="4"/>
        <v>0</v>
      </c>
      <c r="P16" s="47">
        <f t="shared" si="5"/>
        <v>0</v>
      </c>
      <c r="S16" s="44"/>
      <c r="T16" s="51" t="s">
        <v>93</v>
      </c>
      <c r="U16" s="41"/>
      <c r="V16" s="46"/>
      <c r="W16" s="47"/>
    </row>
    <row r="17" spans="1:23" ht="20.399999999999999" x14ac:dyDescent="0.25">
      <c r="A17" s="108"/>
      <c r="B17" s="110"/>
      <c r="C17" s="114"/>
      <c r="D17" s="114"/>
      <c r="E17" s="114"/>
      <c r="F17" s="116"/>
      <c r="G17" s="44"/>
      <c r="H17" s="51">
        <v>43.4</v>
      </c>
      <c r="I17" s="41"/>
      <c r="J17" s="46"/>
      <c r="K17" s="47"/>
      <c r="L17" s="39">
        <f t="shared" si="1"/>
        <v>0</v>
      </c>
      <c r="M17" s="51">
        <f t="shared" si="2"/>
        <v>43.4</v>
      </c>
      <c r="N17" s="41">
        <f t="shared" si="3"/>
        <v>0</v>
      </c>
      <c r="O17" s="46">
        <f t="shared" si="4"/>
        <v>0</v>
      </c>
      <c r="P17" s="47">
        <f t="shared" si="5"/>
        <v>0</v>
      </c>
      <c r="S17" s="44"/>
      <c r="T17" s="51" t="s">
        <v>93</v>
      </c>
      <c r="U17" s="41"/>
      <c r="V17" s="46"/>
      <c r="W17" s="47"/>
    </row>
    <row r="18" spans="1:23" ht="20.399999999999999" x14ac:dyDescent="0.25">
      <c r="A18" s="108"/>
      <c r="B18" s="110"/>
      <c r="C18" s="114"/>
      <c r="D18" s="114"/>
      <c r="E18" s="114"/>
      <c r="F18" s="116"/>
      <c r="G18" s="44"/>
      <c r="H18" s="51">
        <v>43.4</v>
      </c>
      <c r="I18" s="41"/>
      <c r="J18" s="46"/>
      <c r="K18" s="47"/>
      <c r="L18" s="39">
        <f t="shared" si="1"/>
        <v>0</v>
      </c>
      <c r="M18" s="51">
        <f t="shared" si="2"/>
        <v>43.4</v>
      </c>
      <c r="N18" s="41">
        <f t="shared" si="3"/>
        <v>0</v>
      </c>
      <c r="O18" s="46">
        <f t="shared" si="4"/>
        <v>0</v>
      </c>
      <c r="P18" s="47">
        <f t="shared" si="5"/>
        <v>0</v>
      </c>
      <c r="S18" s="44"/>
      <c r="T18" s="51" t="s">
        <v>93</v>
      </c>
      <c r="U18" s="41"/>
      <c r="V18" s="46"/>
      <c r="W18" s="47"/>
    </row>
    <row r="19" spans="1:23" ht="20.399999999999999" x14ac:dyDescent="0.25">
      <c r="A19" s="108"/>
      <c r="B19" s="110"/>
      <c r="C19" s="114"/>
      <c r="D19" s="114"/>
      <c r="E19" s="114"/>
      <c r="F19" s="116"/>
      <c r="G19" s="44"/>
      <c r="H19" s="51">
        <v>43.4</v>
      </c>
      <c r="I19" s="41"/>
      <c r="J19" s="46"/>
      <c r="K19" s="47"/>
      <c r="L19" s="39">
        <f t="shared" si="1"/>
        <v>0</v>
      </c>
      <c r="M19" s="51">
        <f t="shared" si="2"/>
        <v>43.4</v>
      </c>
      <c r="N19" s="41">
        <f t="shared" si="3"/>
        <v>0</v>
      </c>
      <c r="O19" s="46">
        <f t="shared" si="4"/>
        <v>0</v>
      </c>
      <c r="P19" s="47">
        <f t="shared" si="5"/>
        <v>0</v>
      </c>
      <c r="S19" s="44"/>
      <c r="T19" s="51" t="s">
        <v>94</v>
      </c>
      <c r="U19" s="41"/>
      <c r="V19" s="46"/>
      <c r="W19" s="47"/>
    </row>
    <row r="20" spans="1:23" ht="20.399999999999999" x14ac:dyDescent="0.25">
      <c r="A20" s="108"/>
      <c r="B20" s="110"/>
      <c r="C20" s="114"/>
      <c r="D20" s="114"/>
      <c r="E20" s="114"/>
      <c r="F20" s="116"/>
      <c r="G20" s="44"/>
      <c r="H20" s="51">
        <v>43.4</v>
      </c>
      <c r="I20" s="41"/>
      <c r="J20" s="46"/>
      <c r="K20" s="47"/>
      <c r="L20" s="39">
        <f t="shared" si="1"/>
        <v>0</v>
      </c>
      <c r="M20" s="51">
        <f t="shared" si="2"/>
        <v>43.4</v>
      </c>
      <c r="N20" s="41">
        <f t="shared" si="3"/>
        <v>0</v>
      </c>
      <c r="O20" s="46">
        <f t="shared" si="4"/>
        <v>0</v>
      </c>
      <c r="P20" s="47">
        <f t="shared" si="5"/>
        <v>0</v>
      </c>
      <c r="S20" s="44"/>
      <c r="T20" s="51" t="s">
        <v>94</v>
      </c>
      <c r="U20" s="41"/>
      <c r="V20" s="46"/>
      <c r="W20" s="47"/>
    </row>
    <row r="21" spans="1:23" ht="20.399999999999999" x14ac:dyDescent="0.25">
      <c r="A21" s="108"/>
      <c r="B21" s="110"/>
      <c r="C21" s="114"/>
      <c r="D21" s="114"/>
      <c r="E21" s="114"/>
      <c r="F21" s="116"/>
      <c r="G21" s="44"/>
      <c r="H21" s="51">
        <v>43.4</v>
      </c>
      <c r="I21" s="41"/>
      <c r="J21" s="46"/>
      <c r="K21" s="47"/>
      <c r="L21" s="39">
        <f t="shared" si="1"/>
        <v>0</v>
      </c>
      <c r="M21" s="51">
        <f t="shared" si="2"/>
        <v>43.4</v>
      </c>
      <c r="N21" s="41">
        <f t="shared" si="3"/>
        <v>0</v>
      </c>
      <c r="O21" s="46">
        <f t="shared" si="4"/>
        <v>0</v>
      </c>
      <c r="P21" s="47">
        <f t="shared" si="5"/>
        <v>0</v>
      </c>
      <c r="S21" s="44"/>
      <c r="T21" s="51" t="s">
        <v>94</v>
      </c>
      <c r="U21" s="41"/>
      <c r="V21" s="46"/>
      <c r="W21" s="47"/>
    </row>
    <row r="22" spans="1:23" ht="20.399999999999999" x14ac:dyDescent="0.25">
      <c r="A22" s="108"/>
      <c r="B22" s="110"/>
      <c r="C22" s="114"/>
      <c r="D22" s="114"/>
      <c r="E22" s="114"/>
      <c r="F22" s="116"/>
      <c r="G22" s="44"/>
      <c r="H22" s="51">
        <v>43.4</v>
      </c>
      <c r="I22" s="41"/>
      <c r="J22" s="46"/>
      <c r="K22" s="47"/>
      <c r="L22" s="39">
        <f t="shared" si="1"/>
        <v>0</v>
      </c>
      <c r="M22" s="51">
        <f t="shared" si="2"/>
        <v>43.4</v>
      </c>
      <c r="N22" s="41">
        <f t="shared" si="3"/>
        <v>0</v>
      </c>
      <c r="O22" s="46">
        <f t="shared" si="4"/>
        <v>0</v>
      </c>
      <c r="P22" s="47">
        <f t="shared" si="5"/>
        <v>0</v>
      </c>
      <c r="S22" s="44"/>
      <c r="T22" s="51" t="s">
        <v>94</v>
      </c>
      <c r="U22" s="41"/>
      <c r="V22" s="46"/>
      <c r="W22" s="47"/>
    </row>
    <row r="23" spans="1:23" ht="20.399999999999999" x14ac:dyDescent="0.25">
      <c r="A23" s="108"/>
      <c r="B23" s="110"/>
      <c r="C23" s="114"/>
      <c r="D23" s="114"/>
      <c r="E23" s="114"/>
      <c r="F23" s="116"/>
      <c r="G23" s="44"/>
      <c r="H23" s="51">
        <v>43.4</v>
      </c>
      <c r="I23" s="41"/>
      <c r="J23" s="46"/>
      <c r="K23" s="47"/>
      <c r="L23" s="39">
        <f t="shared" si="1"/>
        <v>0</v>
      </c>
      <c r="M23" s="51">
        <f t="shared" si="2"/>
        <v>43.4</v>
      </c>
      <c r="N23" s="41">
        <f t="shared" si="3"/>
        <v>0</v>
      </c>
      <c r="O23" s="46">
        <f t="shared" si="4"/>
        <v>0</v>
      </c>
      <c r="P23" s="47">
        <f t="shared" si="5"/>
        <v>0</v>
      </c>
      <c r="S23" s="44"/>
      <c r="T23" s="51" t="s">
        <v>94</v>
      </c>
      <c r="U23" s="41"/>
      <c r="V23" s="46"/>
      <c r="W23" s="47"/>
    </row>
    <row r="24" spans="1:23" ht="20.399999999999999" x14ac:dyDescent="0.25">
      <c r="A24" s="108"/>
      <c r="B24" s="110"/>
      <c r="C24" s="114"/>
      <c r="D24" s="114"/>
      <c r="E24" s="114"/>
      <c r="F24" s="116"/>
      <c r="G24" s="44"/>
      <c r="H24" s="51">
        <v>43.4</v>
      </c>
      <c r="I24" s="41"/>
      <c r="J24" s="46"/>
      <c r="K24" s="47"/>
      <c r="L24" s="39">
        <f t="shared" si="1"/>
        <v>0</v>
      </c>
      <c r="M24" s="51">
        <f t="shared" si="2"/>
        <v>43.4</v>
      </c>
      <c r="N24" s="41">
        <f t="shared" si="3"/>
        <v>0</v>
      </c>
      <c r="O24" s="46">
        <f t="shared" si="4"/>
        <v>0</v>
      </c>
      <c r="P24" s="47">
        <f t="shared" si="5"/>
        <v>0</v>
      </c>
      <c r="S24" s="44"/>
      <c r="T24" s="51" t="s">
        <v>94</v>
      </c>
      <c r="U24" s="41"/>
      <c r="V24" s="46"/>
      <c r="W24" s="47"/>
    </row>
    <row r="25" spans="1:23" ht="20.399999999999999" x14ac:dyDescent="0.25">
      <c r="A25" s="108"/>
      <c r="B25" s="110"/>
      <c r="C25" s="114"/>
      <c r="D25" s="114"/>
      <c r="E25" s="114"/>
      <c r="F25" s="116"/>
      <c r="G25" s="44"/>
      <c r="H25" s="51">
        <v>43.4</v>
      </c>
      <c r="I25" s="41"/>
      <c r="J25" s="46"/>
      <c r="K25" s="47"/>
      <c r="L25" s="39">
        <f t="shared" si="1"/>
        <v>0</v>
      </c>
      <c r="M25" s="51">
        <f t="shared" si="2"/>
        <v>43.4</v>
      </c>
      <c r="N25" s="41">
        <f t="shared" si="3"/>
        <v>0</v>
      </c>
      <c r="O25" s="46">
        <f t="shared" si="4"/>
        <v>0</v>
      </c>
      <c r="P25" s="47">
        <f t="shared" si="5"/>
        <v>0</v>
      </c>
      <c r="S25" s="44"/>
      <c r="T25" s="51" t="s">
        <v>94</v>
      </c>
      <c r="U25" s="41"/>
      <c r="V25" s="46"/>
      <c r="W25" s="47"/>
    </row>
    <row r="26" spans="1:23" ht="20.399999999999999" x14ac:dyDescent="0.25">
      <c r="A26" s="108"/>
      <c r="B26" s="110"/>
      <c r="C26" s="114"/>
      <c r="D26" s="114"/>
      <c r="E26" s="114"/>
      <c r="F26" s="116"/>
      <c r="G26" s="44"/>
      <c r="H26" s="51">
        <v>43.4</v>
      </c>
      <c r="I26" s="41"/>
      <c r="J26" s="46"/>
      <c r="K26" s="47"/>
      <c r="L26" s="39">
        <f t="shared" si="1"/>
        <v>0</v>
      </c>
      <c r="M26" s="51">
        <f t="shared" si="2"/>
        <v>43.4</v>
      </c>
      <c r="N26" s="41">
        <f t="shared" si="3"/>
        <v>0</v>
      </c>
      <c r="O26" s="46">
        <f t="shared" si="4"/>
        <v>0</v>
      </c>
      <c r="P26" s="47">
        <f t="shared" si="5"/>
        <v>0</v>
      </c>
      <c r="S26" s="44"/>
      <c r="T26" s="51" t="s">
        <v>94</v>
      </c>
      <c r="U26" s="41"/>
      <c r="V26" s="46"/>
      <c r="W26" s="47"/>
    </row>
    <row r="27" spans="1:23" ht="20.399999999999999" x14ac:dyDescent="0.25">
      <c r="A27" s="108"/>
      <c r="B27" s="110"/>
      <c r="C27" s="114"/>
      <c r="D27" s="114"/>
      <c r="E27" s="114"/>
      <c r="F27" s="116"/>
      <c r="G27" s="44"/>
      <c r="H27" s="51">
        <v>43.4</v>
      </c>
      <c r="I27" s="41"/>
      <c r="J27" s="46"/>
      <c r="K27" s="47"/>
      <c r="L27" s="39">
        <f t="shared" si="1"/>
        <v>0</v>
      </c>
      <c r="M27" s="51">
        <f t="shared" si="2"/>
        <v>43.4</v>
      </c>
      <c r="N27" s="41">
        <f t="shared" si="3"/>
        <v>0</v>
      </c>
      <c r="O27" s="46">
        <f t="shared" si="4"/>
        <v>0</v>
      </c>
      <c r="P27" s="47">
        <f t="shared" si="5"/>
        <v>0</v>
      </c>
      <c r="S27" s="44"/>
      <c r="T27" s="51" t="s">
        <v>94</v>
      </c>
      <c r="U27" s="41"/>
      <c r="V27" s="46"/>
      <c r="W27" s="47"/>
    </row>
    <row r="28" spans="1:23" ht="20.399999999999999" x14ac:dyDescent="0.25">
      <c r="A28" s="108"/>
      <c r="B28" s="110"/>
      <c r="C28" s="114"/>
      <c r="D28" s="114"/>
      <c r="E28" s="114" t="s">
        <v>13</v>
      </c>
      <c r="F28" s="50" t="s">
        <v>23</v>
      </c>
      <c r="G28" s="39">
        <v>2279.37</v>
      </c>
      <c r="H28" s="51">
        <v>1831.09</v>
      </c>
      <c r="I28" s="41"/>
      <c r="J28" s="46"/>
      <c r="K28" s="43">
        <v>4024.7</v>
      </c>
      <c r="L28" s="39">
        <f t="shared" si="1"/>
        <v>2279.37</v>
      </c>
      <c r="M28" s="51">
        <f t="shared" si="2"/>
        <v>1831.09</v>
      </c>
      <c r="N28" s="41">
        <f t="shared" si="3"/>
        <v>0</v>
      </c>
      <c r="O28" s="46">
        <f t="shared" si="4"/>
        <v>0</v>
      </c>
      <c r="P28" s="43">
        <f t="shared" si="5"/>
        <v>4024.7</v>
      </c>
      <c r="S28" s="39">
        <v>2279.37</v>
      </c>
      <c r="T28" s="51" t="s">
        <v>95</v>
      </c>
      <c r="U28" s="41"/>
      <c r="V28" s="46"/>
      <c r="W28" s="43">
        <v>4024.7</v>
      </c>
    </row>
    <row r="29" spans="1:23" ht="20.399999999999999" x14ac:dyDescent="0.25">
      <c r="A29" s="108"/>
      <c r="B29" s="110"/>
      <c r="C29" s="114"/>
      <c r="D29" s="114"/>
      <c r="E29" s="114"/>
      <c r="F29" s="139"/>
      <c r="G29" s="44"/>
      <c r="H29" s="51">
        <v>1831.09</v>
      </c>
      <c r="I29" s="41"/>
      <c r="J29" s="46"/>
      <c r="K29" s="47"/>
      <c r="L29" s="39">
        <f t="shared" si="1"/>
        <v>0</v>
      </c>
      <c r="M29" s="51">
        <f t="shared" si="2"/>
        <v>1831.09</v>
      </c>
      <c r="N29" s="41">
        <f t="shared" si="3"/>
        <v>0</v>
      </c>
      <c r="O29" s="46">
        <f t="shared" si="4"/>
        <v>0</v>
      </c>
      <c r="P29" s="47">
        <f t="shared" si="5"/>
        <v>0</v>
      </c>
      <c r="S29" s="44"/>
      <c r="T29" s="51" t="s">
        <v>95</v>
      </c>
      <c r="U29" s="41"/>
      <c r="V29" s="46"/>
      <c r="W29" s="47"/>
    </row>
    <row r="30" spans="1:23" ht="20.399999999999999" x14ac:dyDescent="0.25">
      <c r="A30" s="108"/>
      <c r="B30" s="110"/>
      <c r="C30" s="114"/>
      <c r="D30" s="114"/>
      <c r="E30" s="114"/>
      <c r="F30" s="139"/>
      <c r="G30" s="44"/>
      <c r="H30" s="51">
        <v>1831.09</v>
      </c>
      <c r="I30" s="41"/>
      <c r="J30" s="46"/>
      <c r="K30" s="47"/>
      <c r="L30" s="39">
        <f t="shared" si="1"/>
        <v>0</v>
      </c>
      <c r="M30" s="51">
        <f t="shared" si="2"/>
        <v>1831.09</v>
      </c>
      <c r="N30" s="41">
        <f t="shared" si="3"/>
        <v>0</v>
      </c>
      <c r="O30" s="46">
        <f t="shared" si="4"/>
        <v>0</v>
      </c>
      <c r="P30" s="47">
        <f t="shared" si="5"/>
        <v>0</v>
      </c>
      <c r="S30" s="44"/>
      <c r="T30" s="51" t="s">
        <v>95</v>
      </c>
      <c r="U30" s="41"/>
      <c r="V30" s="46"/>
      <c r="W30" s="47"/>
    </row>
    <row r="31" spans="1:23" ht="20.399999999999999" x14ac:dyDescent="0.25">
      <c r="A31" s="108"/>
      <c r="B31" s="110"/>
      <c r="C31" s="114"/>
      <c r="D31" s="114"/>
      <c r="E31" s="116"/>
      <c r="F31" s="116"/>
      <c r="G31" s="44"/>
      <c r="H31" s="51">
        <v>1831.09</v>
      </c>
      <c r="I31" s="41"/>
      <c r="J31" s="46"/>
      <c r="K31" s="47"/>
      <c r="L31" s="39">
        <f t="shared" si="1"/>
        <v>0</v>
      </c>
      <c r="M31" s="51">
        <f t="shared" si="2"/>
        <v>1831.09</v>
      </c>
      <c r="N31" s="41">
        <f t="shared" si="3"/>
        <v>0</v>
      </c>
      <c r="O31" s="46">
        <f t="shared" si="4"/>
        <v>0</v>
      </c>
      <c r="P31" s="47">
        <f t="shared" si="5"/>
        <v>0</v>
      </c>
      <c r="S31" s="44"/>
      <c r="T31" s="51" t="s">
        <v>95</v>
      </c>
      <c r="U31" s="41"/>
      <c r="V31" s="46"/>
      <c r="W31" s="47"/>
    </row>
    <row r="32" spans="1:23" ht="20.399999999999999" x14ac:dyDescent="0.25">
      <c r="A32" s="108"/>
      <c r="B32" s="110"/>
      <c r="C32" s="114"/>
      <c r="D32" s="114"/>
      <c r="E32" s="116"/>
      <c r="F32" s="116"/>
      <c r="G32" s="44"/>
      <c r="H32" s="51">
        <v>1831.09</v>
      </c>
      <c r="I32" s="41"/>
      <c r="J32" s="46"/>
      <c r="K32" s="47"/>
      <c r="L32" s="39">
        <f t="shared" si="1"/>
        <v>0</v>
      </c>
      <c r="M32" s="51">
        <f t="shared" si="2"/>
        <v>1831.09</v>
      </c>
      <c r="N32" s="41">
        <f t="shared" si="3"/>
        <v>0</v>
      </c>
      <c r="O32" s="46">
        <f t="shared" si="4"/>
        <v>0</v>
      </c>
      <c r="P32" s="47">
        <f t="shared" si="5"/>
        <v>0</v>
      </c>
      <c r="S32" s="44"/>
      <c r="T32" s="51" t="s">
        <v>95</v>
      </c>
      <c r="U32" s="41"/>
      <c r="V32" s="46"/>
      <c r="W32" s="47"/>
    </row>
    <row r="33" spans="1:23" ht="20.399999999999999" x14ac:dyDescent="0.25">
      <c r="A33" s="108"/>
      <c r="B33" s="110"/>
      <c r="C33" s="114"/>
      <c r="D33" s="114"/>
      <c r="E33" s="116"/>
      <c r="F33" s="116"/>
      <c r="G33" s="44"/>
      <c r="H33" s="51">
        <v>1831.09</v>
      </c>
      <c r="I33" s="41"/>
      <c r="J33" s="46"/>
      <c r="K33" s="47"/>
      <c r="L33" s="39">
        <f t="shared" si="1"/>
        <v>0</v>
      </c>
      <c r="M33" s="51">
        <f t="shared" si="2"/>
        <v>1831.09</v>
      </c>
      <c r="N33" s="41">
        <f t="shared" si="3"/>
        <v>0</v>
      </c>
      <c r="O33" s="46">
        <f t="shared" si="4"/>
        <v>0</v>
      </c>
      <c r="P33" s="47">
        <f t="shared" si="5"/>
        <v>0</v>
      </c>
      <c r="S33" s="44"/>
      <c r="T33" s="51" t="s">
        <v>96</v>
      </c>
      <c r="U33" s="41"/>
      <c r="V33" s="46"/>
      <c r="W33" s="47"/>
    </row>
    <row r="34" spans="1:23" ht="20.399999999999999" x14ac:dyDescent="0.25">
      <c r="A34" s="108"/>
      <c r="B34" s="110"/>
      <c r="C34" s="114"/>
      <c r="D34" s="114"/>
      <c r="E34" s="116"/>
      <c r="F34" s="116"/>
      <c r="G34" s="44"/>
      <c r="H34" s="51">
        <v>1831.09</v>
      </c>
      <c r="I34" s="41"/>
      <c r="J34" s="46"/>
      <c r="K34" s="47"/>
      <c r="L34" s="39">
        <f t="shared" si="1"/>
        <v>0</v>
      </c>
      <c r="M34" s="51">
        <f t="shared" si="2"/>
        <v>1831.09</v>
      </c>
      <c r="N34" s="41">
        <f t="shared" si="3"/>
        <v>0</v>
      </c>
      <c r="O34" s="46">
        <f t="shared" si="4"/>
        <v>0</v>
      </c>
      <c r="P34" s="47">
        <f t="shared" si="5"/>
        <v>0</v>
      </c>
      <c r="S34" s="44"/>
      <c r="T34" s="51" t="s">
        <v>96</v>
      </c>
      <c r="U34" s="41"/>
      <c r="V34" s="46"/>
      <c r="W34" s="47"/>
    </row>
    <row r="35" spans="1:23" ht="20.399999999999999" x14ac:dyDescent="0.25">
      <c r="A35" s="108"/>
      <c r="B35" s="110"/>
      <c r="C35" s="114"/>
      <c r="D35" s="114"/>
      <c r="E35" s="116"/>
      <c r="F35" s="116"/>
      <c r="G35" s="44"/>
      <c r="H35" s="51">
        <v>1831.09</v>
      </c>
      <c r="I35" s="41"/>
      <c r="J35" s="46"/>
      <c r="K35" s="47"/>
      <c r="L35" s="39">
        <f t="shared" si="1"/>
        <v>0</v>
      </c>
      <c r="M35" s="51">
        <f t="shared" si="2"/>
        <v>1831.09</v>
      </c>
      <c r="N35" s="41">
        <f t="shared" si="3"/>
        <v>0</v>
      </c>
      <c r="O35" s="46">
        <f t="shared" si="4"/>
        <v>0</v>
      </c>
      <c r="P35" s="47">
        <f t="shared" si="5"/>
        <v>0</v>
      </c>
      <c r="S35" s="44"/>
      <c r="T35" s="51" t="s">
        <v>96</v>
      </c>
      <c r="U35" s="41"/>
      <c r="V35" s="46"/>
      <c r="W35" s="47"/>
    </row>
    <row r="36" spans="1:23" ht="20.399999999999999" x14ac:dyDescent="0.25">
      <c r="A36" s="108"/>
      <c r="B36" s="110"/>
      <c r="C36" s="114"/>
      <c r="D36" s="114"/>
      <c r="E36" s="116"/>
      <c r="F36" s="116"/>
      <c r="G36" s="44"/>
      <c r="H36" s="51">
        <v>1831.09</v>
      </c>
      <c r="I36" s="41"/>
      <c r="J36" s="46"/>
      <c r="K36" s="47"/>
      <c r="L36" s="39">
        <f t="shared" si="1"/>
        <v>0</v>
      </c>
      <c r="M36" s="51">
        <f t="shared" si="2"/>
        <v>1831.09</v>
      </c>
      <c r="N36" s="41">
        <f t="shared" si="3"/>
        <v>0</v>
      </c>
      <c r="O36" s="46">
        <f t="shared" si="4"/>
        <v>0</v>
      </c>
      <c r="P36" s="47">
        <f t="shared" si="5"/>
        <v>0</v>
      </c>
      <c r="S36" s="44"/>
      <c r="T36" s="51" t="s">
        <v>96</v>
      </c>
      <c r="U36" s="41"/>
      <c r="V36" s="46"/>
      <c r="W36" s="47"/>
    </row>
    <row r="37" spans="1:23" ht="20.399999999999999" x14ac:dyDescent="0.25">
      <c r="A37" s="108"/>
      <c r="B37" s="110"/>
      <c r="C37" s="114"/>
      <c r="D37" s="114"/>
      <c r="E37" s="116"/>
      <c r="F37" s="116"/>
      <c r="G37" s="44"/>
      <c r="H37" s="51">
        <v>1831.09</v>
      </c>
      <c r="I37" s="41"/>
      <c r="J37" s="46"/>
      <c r="K37" s="47"/>
      <c r="L37" s="39">
        <f t="shared" si="1"/>
        <v>0</v>
      </c>
      <c r="M37" s="51">
        <f t="shared" si="2"/>
        <v>1831.09</v>
      </c>
      <c r="N37" s="41">
        <f t="shared" si="3"/>
        <v>0</v>
      </c>
      <c r="O37" s="46">
        <f t="shared" si="4"/>
        <v>0</v>
      </c>
      <c r="P37" s="47">
        <f t="shared" si="5"/>
        <v>0</v>
      </c>
      <c r="S37" s="44"/>
      <c r="T37" s="51" t="s">
        <v>96</v>
      </c>
      <c r="U37" s="41"/>
      <c r="V37" s="46"/>
      <c r="W37" s="47"/>
    </row>
    <row r="38" spans="1:23" ht="20.399999999999999" x14ac:dyDescent="0.25">
      <c r="A38" s="108"/>
      <c r="B38" s="110"/>
      <c r="C38" s="114"/>
      <c r="D38" s="114"/>
      <c r="E38" s="116"/>
      <c r="F38" s="116"/>
      <c r="G38" s="44"/>
      <c r="H38" s="51">
        <v>1831.09</v>
      </c>
      <c r="I38" s="41"/>
      <c r="J38" s="46"/>
      <c r="K38" s="47"/>
      <c r="L38" s="39">
        <f t="shared" si="1"/>
        <v>0</v>
      </c>
      <c r="M38" s="51">
        <f t="shared" si="2"/>
        <v>1831.09</v>
      </c>
      <c r="N38" s="41">
        <f t="shared" si="3"/>
        <v>0</v>
      </c>
      <c r="O38" s="46">
        <f t="shared" si="4"/>
        <v>0</v>
      </c>
      <c r="P38" s="47">
        <f t="shared" si="5"/>
        <v>0</v>
      </c>
      <c r="S38" s="44"/>
      <c r="T38" s="51" t="s">
        <v>96</v>
      </c>
      <c r="U38" s="41"/>
      <c r="V38" s="46"/>
      <c r="W38" s="47"/>
    </row>
    <row r="39" spans="1:23" ht="20.399999999999999" x14ac:dyDescent="0.25">
      <c r="A39" s="108"/>
      <c r="B39" s="110"/>
      <c r="C39" s="114"/>
      <c r="D39" s="114"/>
      <c r="E39" s="116"/>
      <c r="F39" s="116"/>
      <c r="G39" s="44"/>
      <c r="H39" s="51">
        <v>1831.09</v>
      </c>
      <c r="I39" s="41"/>
      <c r="J39" s="46"/>
      <c r="K39" s="47"/>
      <c r="L39" s="39">
        <f t="shared" si="1"/>
        <v>0</v>
      </c>
      <c r="M39" s="51">
        <f t="shared" si="2"/>
        <v>1831.09</v>
      </c>
      <c r="N39" s="41">
        <f t="shared" si="3"/>
        <v>0</v>
      </c>
      <c r="O39" s="46">
        <f t="shared" si="4"/>
        <v>0</v>
      </c>
      <c r="P39" s="47">
        <f t="shared" si="5"/>
        <v>0</v>
      </c>
      <c r="S39" s="44"/>
      <c r="T39" s="51" t="s">
        <v>96</v>
      </c>
      <c r="U39" s="41"/>
      <c r="V39" s="46"/>
      <c r="W39" s="47"/>
    </row>
    <row r="40" spans="1:23" ht="20.399999999999999" x14ac:dyDescent="0.25">
      <c r="A40" s="108"/>
      <c r="B40" s="110"/>
      <c r="C40" s="114"/>
      <c r="D40" s="114"/>
      <c r="E40" s="116"/>
      <c r="F40" s="116"/>
      <c r="G40" s="44"/>
      <c r="H40" s="51">
        <v>1831.09</v>
      </c>
      <c r="I40" s="41"/>
      <c r="J40" s="46"/>
      <c r="K40" s="47"/>
      <c r="L40" s="39">
        <f t="shared" si="1"/>
        <v>0</v>
      </c>
      <c r="M40" s="51">
        <f t="shared" si="2"/>
        <v>1831.09</v>
      </c>
      <c r="N40" s="41">
        <f t="shared" si="3"/>
        <v>0</v>
      </c>
      <c r="O40" s="46">
        <f t="shared" si="4"/>
        <v>0</v>
      </c>
      <c r="P40" s="47">
        <f t="shared" si="5"/>
        <v>0</v>
      </c>
      <c r="S40" s="44"/>
      <c r="T40" s="51" t="s">
        <v>96</v>
      </c>
      <c r="U40" s="41"/>
      <c r="V40" s="46"/>
      <c r="W40" s="47"/>
    </row>
    <row r="41" spans="1:23" ht="20.399999999999999" x14ac:dyDescent="0.25">
      <c r="A41" s="108"/>
      <c r="B41" s="110"/>
      <c r="C41" s="114"/>
      <c r="D41" s="114"/>
      <c r="E41" s="116"/>
      <c r="F41" s="116"/>
      <c r="G41" s="44"/>
      <c r="H41" s="51">
        <v>1831.09</v>
      </c>
      <c r="I41" s="41"/>
      <c r="J41" s="46"/>
      <c r="K41" s="47"/>
      <c r="L41" s="39">
        <f t="shared" si="1"/>
        <v>0</v>
      </c>
      <c r="M41" s="51">
        <f t="shared" si="2"/>
        <v>1831.09</v>
      </c>
      <c r="N41" s="41">
        <f t="shared" si="3"/>
        <v>0</v>
      </c>
      <c r="O41" s="46">
        <f t="shared" si="4"/>
        <v>0</v>
      </c>
      <c r="P41" s="47">
        <f t="shared" si="5"/>
        <v>0</v>
      </c>
      <c r="S41" s="44"/>
      <c r="T41" s="51" t="s">
        <v>96</v>
      </c>
      <c r="U41" s="41"/>
      <c r="V41" s="46"/>
      <c r="W41" s="47"/>
    </row>
    <row r="42" spans="1:23" x14ac:dyDescent="0.25">
      <c r="A42" s="108"/>
      <c r="B42" s="110"/>
      <c r="C42" s="114"/>
      <c r="D42" s="114"/>
      <c r="E42" s="49" t="s">
        <v>17</v>
      </c>
      <c r="F42" s="50" t="s">
        <v>24</v>
      </c>
      <c r="G42" s="39">
        <v>6519.58</v>
      </c>
      <c r="H42" s="40"/>
      <c r="I42" s="41"/>
      <c r="J42" s="42">
        <v>8581.5300000000007</v>
      </c>
      <c r="K42" s="43">
        <v>8980.33</v>
      </c>
      <c r="L42" s="39">
        <f t="shared" si="1"/>
        <v>6519.58</v>
      </c>
      <c r="M42" s="40">
        <f t="shared" si="2"/>
        <v>0</v>
      </c>
      <c r="N42" s="41">
        <f t="shared" si="3"/>
        <v>0</v>
      </c>
      <c r="O42" s="42">
        <f t="shared" si="4"/>
        <v>8581.5300000000007</v>
      </c>
      <c r="P42" s="43">
        <f t="shared" si="5"/>
        <v>8980.33</v>
      </c>
      <c r="S42" s="39">
        <v>6519.58</v>
      </c>
      <c r="T42" s="40"/>
      <c r="U42" s="41"/>
      <c r="V42" s="42">
        <v>8581.5300000000007</v>
      </c>
      <c r="W42" s="43">
        <v>8980.33</v>
      </c>
    </row>
    <row r="43" spans="1:23" x14ac:dyDescent="0.25">
      <c r="A43" s="108" t="s">
        <v>131</v>
      </c>
      <c r="B43" s="110">
        <v>5</v>
      </c>
      <c r="C43" s="117" t="s">
        <v>25</v>
      </c>
      <c r="D43" s="117" t="s">
        <v>26</v>
      </c>
      <c r="E43" s="49" t="s">
        <v>22</v>
      </c>
      <c r="F43" s="50" t="s">
        <v>23</v>
      </c>
      <c r="G43" s="44"/>
      <c r="H43" s="40"/>
      <c r="I43" s="41"/>
      <c r="J43" s="46"/>
      <c r="K43" s="47"/>
      <c r="L43" s="39">
        <f t="shared" si="1"/>
        <v>0</v>
      </c>
      <c r="M43" s="40">
        <f t="shared" si="2"/>
        <v>0</v>
      </c>
      <c r="N43" s="41">
        <f t="shared" si="3"/>
        <v>0</v>
      </c>
      <c r="O43" s="46">
        <f t="shared" si="4"/>
        <v>0</v>
      </c>
      <c r="P43" s="47">
        <f t="shared" si="5"/>
        <v>0</v>
      </c>
      <c r="S43" s="44"/>
      <c r="T43" s="40"/>
      <c r="U43" s="41"/>
      <c r="V43" s="46"/>
      <c r="W43" s="47"/>
    </row>
    <row r="44" spans="1:23" ht="20.399999999999999" x14ac:dyDescent="0.25">
      <c r="A44" s="108"/>
      <c r="B44" s="110"/>
      <c r="C44" s="117"/>
      <c r="D44" s="117"/>
      <c r="E44" s="114" t="s">
        <v>12</v>
      </c>
      <c r="F44" s="50" t="s">
        <v>23</v>
      </c>
      <c r="G44" s="39">
        <v>156.9</v>
      </c>
      <c r="H44" s="51">
        <v>80.430000000000007</v>
      </c>
      <c r="I44" s="41"/>
      <c r="J44" s="46"/>
      <c r="K44" s="43">
        <v>220.55</v>
      </c>
      <c r="L44" s="39">
        <f t="shared" si="1"/>
        <v>156.9</v>
      </c>
      <c r="M44" s="51">
        <f t="shared" si="2"/>
        <v>80.430000000000007</v>
      </c>
      <c r="N44" s="41">
        <f t="shared" si="3"/>
        <v>0</v>
      </c>
      <c r="O44" s="46">
        <f t="shared" si="4"/>
        <v>0</v>
      </c>
      <c r="P44" s="43">
        <f t="shared" si="5"/>
        <v>220.55</v>
      </c>
      <c r="S44" s="39">
        <v>156.9</v>
      </c>
      <c r="T44" s="51" t="s">
        <v>97</v>
      </c>
      <c r="U44" s="41"/>
      <c r="V44" s="46"/>
      <c r="W44" s="43">
        <v>220.55</v>
      </c>
    </row>
    <row r="45" spans="1:23" ht="20.399999999999999" x14ac:dyDescent="0.25">
      <c r="A45" s="108"/>
      <c r="B45" s="110"/>
      <c r="C45" s="117"/>
      <c r="D45" s="117"/>
      <c r="E45" s="114"/>
      <c r="F45" s="116"/>
      <c r="G45" s="44"/>
      <c r="H45" s="51">
        <v>80.430000000000007</v>
      </c>
      <c r="I45" s="41"/>
      <c r="J45" s="46"/>
      <c r="K45" s="47"/>
      <c r="L45" s="39">
        <f t="shared" si="1"/>
        <v>0</v>
      </c>
      <c r="M45" s="51">
        <f t="shared" si="2"/>
        <v>80.430000000000007</v>
      </c>
      <c r="N45" s="41">
        <f t="shared" si="3"/>
        <v>0</v>
      </c>
      <c r="O45" s="46">
        <f t="shared" si="4"/>
        <v>0</v>
      </c>
      <c r="P45" s="47">
        <f t="shared" si="5"/>
        <v>0</v>
      </c>
      <c r="S45" s="44"/>
      <c r="T45" s="51" t="s">
        <v>97</v>
      </c>
      <c r="U45" s="41"/>
      <c r="V45" s="46"/>
      <c r="W45" s="47"/>
    </row>
    <row r="46" spans="1:23" ht="20.399999999999999" x14ac:dyDescent="0.25">
      <c r="A46" s="108"/>
      <c r="B46" s="110"/>
      <c r="C46" s="117"/>
      <c r="D46" s="117"/>
      <c r="E46" s="114"/>
      <c r="F46" s="116"/>
      <c r="G46" s="44"/>
      <c r="H46" s="51">
        <v>80.430000000000007</v>
      </c>
      <c r="I46" s="41"/>
      <c r="J46" s="46"/>
      <c r="K46" s="47"/>
      <c r="L46" s="39">
        <f t="shared" si="1"/>
        <v>0</v>
      </c>
      <c r="M46" s="51">
        <f t="shared" si="2"/>
        <v>80.430000000000007</v>
      </c>
      <c r="N46" s="41">
        <f t="shared" si="3"/>
        <v>0</v>
      </c>
      <c r="O46" s="46">
        <f t="shared" si="4"/>
        <v>0</v>
      </c>
      <c r="P46" s="47">
        <f t="shared" si="5"/>
        <v>0</v>
      </c>
      <c r="S46" s="44"/>
      <c r="T46" s="51" t="s">
        <v>97</v>
      </c>
      <c r="U46" s="41"/>
      <c r="V46" s="46"/>
      <c r="W46" s="47"/>
    </row>
    <row r="47" spans="1:23" ht="20.399999999999999" x14ac:dyDescent="0.25">
      <c r="A47" s="108"/>
      <c r="B47" s="110"/>
      <c r="C47" s="117"/>
      <c r="D47" s="117"/>
      <c r="E47" s="114"/>
      <c r="F47" s="116"/>
      <c r="G47" s="44"/>
      <c r="H47" s="51">
        <v>80.430000000000007</v>
      </c>
      <c r="I47" s="41"/>
      <c r="J47" s="46"/>
      <c r="K47" s="47"/>
      <c r="L47" s="39">
        <f t="shared" si="1"/>
        <v>0</v>
      </c>
      <c r="M47" s="51">
        <f t="shared" si="2"/>
        <v>80.430000000000007</v>
      </c>
      <c r="N47" s="41">
        <f t="shared" si="3"/>
        <v>0</v>
      </c>
      <c r="O47" s="46">
        <f t="shared" si="4"/>
        <v>0</v>
      </c>
      <c r="P47" s="47">
        <f t="shared" si="5"/>
        <v>0</v>
      </c>
      <c r="S47" s="44"/>
      <c r="T47" s="51" t="s">
        <v>97</v>
      </c>
      <c r="U47" s="41"/>
      <c r="V47" s="46"/>
      <c r="W47" s="47"/>
    </row>
    <row r="48" spans="1:23" ht="20.399999999999999" x14ac:dyDescent="0.25">
      <c r="A48" s="108"/>
      <c r="B48" s="110"/>
      <c r="C48" s="117"/>
      <c r="D48" s="117"/>
      <c r="E48" s="114"/>
      <c r="F48" s="116"/>
      <c r="G48" s="44"/>
      <c r="H48" s="51">
        <v>80.430000000000007</v>
      </c>
      <c r="I48" s="41"/>
      <c r="J48" s="46"/>
      <c r="K48" s="47"/>
      <c r="L48" s="39">
        <f t="shared" si="1"/>
        <v>0</v>
      </c>
      <c r="M48" s="51">
        <f t="shared" si="2"/>
        <v>80.430000000000007</v>
      </c>
      <c r="N48" s="41">
        <f t="shared" si="3"/>
        <v>0</v>
      </c>
      <c r="O48" s="46">
        <f t="shared" si="4"/>
        <v>0</v>
      </c>
      <c r="P48" s="47">
        <f t="shared" si="5"/>
        <v>0</v>
      </c>
      <c r="S48" s="44"/>
      <c r="T48" s="51" t="s">
        <v>97</v>
      </c>
      <c r="U48" s="41"/>
      <c r="V48" s="46"/>
      <c r="W48" s="47"/>
    </row>
    <row r="49" spans="1:23" ht="20.399999999999999" x14ac:dyDescent="0.25">
      <c r="A49" s="108"/>
      <c r="B49" s="110"/>
      <c r="C49" s="117"/>
      <c r="D49" s="117"/>
      <c r="E49" s="114"/>
      <c r="F49" s="116"/>
      <c r="G49" s="44"/>
      <c r="H49" s="51">
        <v>80.430000000000007</v>
      </c>
      <c r="I49" s="41"/>
      <c r="J49" s="46"/>
      <c r="K49" s="47"/>
      <c r="L49" s="39">
        <f t="shared" si="1"/>
        <v>0</v>
      </c>
      <c r="M49" s="51">
        <f t="shared" si="2"/>
        <v>80.430000000000007</v>
      </c>
      <c r="N49" s="41">
        <f t="shared" si="3"/>
        <v>0</v>
      </c>
      <c r="O49" s="46">
        <f t="shared" si="4"/>
        <v>0</v>
      </c>
      <c r="P49" s="47">
        <f t="shared" si="5"/>
        <v>0</v>
      </c>
      <c r="S49" s="44"/>
      <c r="T49" s="51" t="s">
        <v>98</v>
      </c>
      <c r="U49" s="41"/>
      <c r="V49" s="46"/>
      <c r="W49" s="47"/>
    </row>
    <row r="50" spans="1:23" ht="20.399999999999999" x14ac:dyDescent="0.25">
      <c r="A50" s="108"/>
      <c r="B50" s="110"/>
      <c r="C50" s="117"/>
      <c r="D50" s="117"/>
      <c r="E50" s="114"/>
      <c r="F50" s="116"/>
      <c r="G50" s="44"/>
      <c r="H50" s="51">
        <v>80.430000000000007</v>
      </c>
      <c r="I50" s="41"/>
      <c r="J50" s="46"/>
      <c r="K50" s="47"/>
      <c r="L50" s="39">
        <f t="shared" si="1"/>
        <v>0</v>
      </c>
      <c r="M50" s="51">
        <f t="shared" si="2"/>
        <v>80.430000000000007</v>
      </c>
      <c r="N50" s="41">
        <f t="shared" si="3"/>
        <v>0</v>
      </c>
      <c r="O50" s="46">
        <f t="shared" si="4"/>
        <v>0</v>
      </c>
      <c r="P50" s="47">
        <f t="shared" si="5"/>
        <v>0</v>
      </c>
      <c r="S50" s="44"/>
      <c r="T50" s="51" t="s">
        <v>98</v>
      </c>
      <c r="U50" s="41"/>
      <c r="V50" s="46"/>
      <c r="W50" s="47"/>
    </row>
    <row r="51" spans="1:23" ht="20.399999999999999" x14ac:dyDescent="0.25">
      <c r="A51" s="108"/>
      <c r="B51" s="110"/>
      <c r="C51" s="117"/>
      <c r="D51" s="117"/>
      <c r="E51" s="114"/>
      <c r="F51" s="116"/>
      <c r="G51" s="44"/>
      <c r="H51" s="51">
        <v>80.430000000000007</v>
      </c>
      <c r="I51" s="41"/>
      <c r="J51" s="46"/>
      <c r="K51" s="47"/>
      <c r="L51" s="39">
        <f t="shared" si="1"/>
        <v>0</v>
      </c>
      <c r="M51" s="51">
        <f t="shared" si="2"/>
        <v>80.430000000000007</v>
      </c>
      <c r="N51" s="41">
        <f t="shared" si="3"/>
        <v>0</v>
      </c>
      <c r="O51" s="46">
        <f t="shared" si="4"/>
        <v>0</v>
      </c>
      <c r="P51" s="47">
        <f t="shared" si="5"/>
        <v>0</v>
      </c>
      <c r="S51" s="44"/>
      <c r="T51" s="51" t="s">
        <v>98</v>
      </c>
      <c r="U51" s="41"/>
      <c r="V51" s="46"/>
      <c r="W51" s="47"/>
    </row>
    <row r="52" spans="1:23" ht="20.399999999999999" x14ac:dyDescent="0.25">
      <c r="A52" s="108"/>
      <c r="B52" s="110"/>
      <c r="C52" s="117"/>
      <c r="D52" s="117"/>
      <c r="E52" s="114"/>
      <c r="F52" s="116"/>
      <c r="G52" s="44"/>
      <c r="H52" s="51">
        <v>80.430000000000007</v>
      </c>
      <c r="I52" s="41"/>
      <c r="J52" s="46"/>
      <c r="K52" s="47"/>
      <c r="L52" s="39">
        <f t="shared" si="1"/>
        <v>0</v>
      </c>
      <c r="M52" s="51">
        <f t="shared" si="2"/>
        <v>80.430000000000007</v>
      </c>
      <c r="N52" s="41">
        <f t="shared" si="3"/>
        <v>0</v>
      </c>
      <c r="O52" s="46">
        <f t="shared" si="4"/>
        <v>0</v>
      </c>
      <c r="P52" s="47">
        <f t="shared" si="5"/>
        <v>0</v>
      </c>
      <c r="S52" s="44"/>
      <c r="T52" s="51" t="s">
        <v>98</v>
      </c>
      <c r="U52" s="41"/>
      <c r="V52" s="46"/>
      <c r="W52" s="47"/>
    </row>
    <row r="53" spans="1:23" ht="20.399999999999999" x14ac:dyDescent="0.25">
      <c r="A53" s="108"/>
      <c r="B53" s="110"/>
      <c r="C53" s="117"/>
      <c r="D53" s="117"/>
      <c r="E53" s="114"/>
      <c r="F53" s="116"/>
      <c r="G53" s="44"/>
      <c r="H53" s="51">
        <v>80.430000000000007</v>
      </c>
      <c r="I53" s="41"/>
      <c r="J53" s="46"/>
      <c r="K53" s="47"/>
      <c r="L53" s="39">
        <f t="shared" si="1"/>
        <v>0</v>
      </c>
      <c r="M53" s="51">
        <f t="shared" si="2"/>
        <v>80.430000000000007</v>
      </c>
      <c r="N53" s="41">
        <f t="shared" si="3"/>
        <v>0</v>
      </c>
      <c r="O53" s="46">
        <f t="shared" si="4"/>
        <v>0</v>
      </c>
      <c r="P53" s="47">
        <f t="shared" si="5"/>
        <v>0</v>
      </c>
      <c r="S53" s="44"/>
      <c r="T53" s="51" t="s">
        <v>98</v>
      </c>
      <c r="U53" s="41"/>
      <c r="V53" s="46"/>
      <c r="W53" s="47"/>
    </row>
    <row r="54" spans="1:23" ht="20.399999999999999" x14ac:dyDescent="0.25">
      <c r="A54" s="108"/>
      <c r="B54" s="110"/>
      <c r="C54" s="117"/>
      <c r="D54" s="117"/>
      <c r="E54" s="114"/>
      <c r="F54" s="116"/>
      <c r="G54" s="44"/>
      <c r="H54" s="51">
        <v>80.430000000000007</v>
      </c>
      <c r="I54" s="41"/>
      <c r="J54" s="46"/>
      <c r="K54" s="47"/>
      <c r="L54" s="39">
        <f t="shared" si="1"/>
        <v>0</v>
      </c>
      <c r="M54" s="51">
        <f t="shared" si="2"/>
        <v>80.430000000000007</v>
      </c>
      <c r="N54" s="41">
        <f t="shared" si="3"/>
        <v>0</v>
      </c>
      <c r="O54" s="46">
        <f t="shared" si="4"/>
        <v>0</v>
      </c>
      <c r="P54" s="47">
        <f t="shared" si="5"/>
        <v>0</v>
      </c>
      <c r="S54" s="44"/>
      <c r="T54" s="51" t="s">
        <v>98</v>
      </c>
      <c r="U54" s="41"/>
      <c r="V54" s="46"/>
      <c r="W54" s="47"/>
    </row>
    <row r="55" spans="1:23" ht="20.399999999999999" x14ac:dyDescent="0.25">
      <c r="A55" s="108"/>
      <c r="B55" s="110"/>
      <c r="C55" s="117"/>
      <c r="D55" s="117"/>
      <c r="E55" s="114"/>
      <c r="F55" s="116"/>
      <c r="G55" s="44"/>
      <c r="H55" s="51">
        <v>80.430000000000007</v>
      </c>
      <c r="I55" s="41"/>
      <c r="J55" s="46"/>
      <c r="K55" s="47"/>
      <c r="L55" s="39">
        <f t="shared" si="1"/>
        <v>0</v>
      </c>
      <c r="M55" s="51">
        <f t="shared" si="2"/>
        <v>80.430000000000007</v>
      </c>
      <c r="N55" s="41">
        <f t="shared" si="3"/>
        <v>0</v>
      </c>
      <c r="O55" s="46">
        <f t="shared" si="4"/>
        <v>0</v>
      </c>
      <c r="P55" s="47">
        <f t="shared" si="5"/>
        <v>0</v>
      </c>
      <c r="S55" s="44"/>
      <c r="T55" s="51" t="s">
        <v>98</v>
      </c>
      <c r="U55" s="41"/>
      <c r="V55" s="46"/>
      <c r="W55" s="47"/>
    </row>
    <row r="56" spans="1:23" ht="20.399999999999999" x14ac:dyDescent="0.25">
      <c r="A56" s="108"/>
      <c r="B56" s="110"/>
      <c r="C56" s="117"/>
      <c r="D56" s="117"/>
      <c r="E56" s="114"/>
      <c r="F56" s="116"/>
      <c r="G56" s="44"/>
      <c r="H56" s="51">
        <v>80.430000000000007</v>
      </c>
      <c r="I56" s="41"/>
      <c r="J56" s="46"/>
      <c r="K56" s="47"/>
      <c r="L56" s="39">
        <f t="shared" si="1"/>
        <v>0</v>
      </c>
      <c r="M56" s="51">
        <f t="shared" si="2"/>
        <v>80.430000000000007</v>
      </c>
      <c r="N56" s="41">
        <f t="shared" si="3"/>
        <v>0</v>
      </c>
      <c r="O56" s="46">
        <f t="shared" si="4"/>
        <v>0</v>
      </c>
      <c r="P56" s="47">
        <f t="shared" si="5"/>
        <v>0</v>
      </c>
      <c r="S56" s="44"/>
      <c r="T56" s="51" t="s">
        <v>98</v>
      </c>
      <c r="U56" s="41"/>
      <c r="V56" s="46"/>
      <c r="W56" s="47"/>
    </row>
    <row r="57" spans="1:23" ht="20.399999999999999" x14ac:dyDescent="0.25">
      <c r="A57" s="108"/>
      <c r="B57" s="110"/>
      <c r="C57" s="117"/>
      <c r="D57" s="117"/>
      <c r="E57" s="114"/>
      <c r="F57" s="116"/>
      <c r="G57" s="44"/>
      <c r="H57" s="51">
        <v>80.430000000000007</v>
      </c>
      <c r="I57" s="41"/>
      <c r="J57" s="46"/>
      <c r="K57" s="47"/>
      <c r="L57" s="39">
        <f t="shared" si="1"/>
        <v>0</v>
      </c>
      <c r="M57" s="51">
        <f t="shared" si="2"/>
        <v>80.430000000000007</v>
      </c>
      <c r="N57" s="41">
        <f t="shared" si="3"/>
        <v>0</v>
      </c>
      <c r="O57" s="46">
        <f t="shared" si="4"/>
        <v>0</v>
      </c>
      <c r="P57" s="47">
        <f t="shared" si="5"/>
        <v>0</v>
      </c>
      <c r="S57" s="44"/>
      <c r="T57" s="51" t="s">
        <v>98</v>
      </c>
      <c r="U57" s="41"/>
      <c r="V57" s="46"/>
      <c r="W57" s="47"/>
    </row>
    <row r="58" spans="1:23" ht="20.399999999999999" x14ac:dyDescent="0.25">
      <c r="A58" s="108"/>
      <c r="B58" s="110"/>
      <c r="C58" s="117"/>
      <c r="D58" s="117"/>
      <c r="E58" s="114" t="s">
        <v>13</v>
      </c>
      <c r="F58" s="50" t="s">
        <v>23</v>
      </c>
      <c r="G58" s="39">
        <v>3395.07</v>
      </c>
      <c r="H58" s="51">
        <v>2832.11</v>
      </c>
      <c r="I58" s="41"/>
      <c r="J58" s="46"/>
      <c r="K58" s="43">
        <v>5302.88</v>
      </c>
      <c r="L58" s="39">
        <f t="shared" si="1"/>
        <v>3395.07</v>
      </c>
      <c r="M58" s="51">
        <f t="shared" si="2"/>
        <v>2832.11</v>
      </c>
      <c r="N58" s="41">
        <f t="shared" si="3"/>
        <v>0</v>
      </c>
      <c r="O58" s="46">
        <f t="shared" si="4"/>
        <v>0</v>
      </c>
      <c r="P58" s="43">
        <f t="shared" si="5"/>
        <v>5302.88</v>
      </c>
      <c r="S58" s="39">
        <v>3395.07</v>
      </c>
      <c r="T58" s="51" t="s">
        <v>99</v>
      </c>
      <c r="U58" s="41"/>
      <c r="V58" s="46"/>
      <c r="W58" s="43">
        <v>5302.88</v>
      </c>
    </row>
    <row r="59" spans="1:23" ht="20.399999999999999" x14ac:dyDescent="0.25">
      <c r="A59" s="108"/>
      <c r="B59" s="110"/>
      <c r="C59" s="117"/>
      <c r="D59" s="117"/>
      <c r="E59" s="114"/>
      <c r="F59" s="116"/>
      <c r="G59" s="44"/>
      <c r="H59" s="51">
        <v>2832.11</v>
      </c>
      <c r="I59" s="41"/>
      <c r="J59" s="46"/>
      <c r="K59" s="47"/>
      <c r="L59" s="39">
        <f t="shared" si="1"/>
        <v>0</v>
      </c>
      <c r="M59" s="51">
        <f t="shared" si="2"/>
        <v>2832.11</v>
      </c>
      <c r="N59" s="41">
        <f t="shared" si="3"/>
        <v>0</v>
      </c>
      <c r="O59" s="46">
        <f t="shared" si="4"/>
        <v>0</v>
      </c>
      <c r="P59" s="47">
        <f t="shared" si="5"/>
        <v>0</v>
      </c>
      <c r="S59" s="44"/>
      <c r="T59" s="51" t="s">
        <v>99</v>
      </c>
      <c r="U59" s="41"/>
      <c r="V59" s="46"/>
      <c r="W59" s="47"/>
    </row>
    <row r="60" spans="1:23" ht="20.399999999999999" x14ac:dyDescent="0.25">
      <c r="A60" s="108"/>
      <c r="B60" s="110"/>
      <c r="C60" s="117"/>
      <c r="D60" s="117"/>
      <c r="E60" s="114"/>
      <c r="F60" s="116"/>
      <c r="G60" s="44"/>
      <c r="H60" s="51">
        <v>2832.11</v>
      </c>
      <c r="I60" s="41"/>
      <c r="J60" s="46"/>
      <c r="K60" s="47"/>
      <c r="L60" s="39">
        <f t="shared" si="1"/>
        <v>0</v>
      </c>
      <c r="M60" s="51">
        <f t="shared" si="2"/>
        <v>2832.11</v>
      </c>
      <c r="N60" s="41">
        <f t="shared" si="3"/>
        <v>0</v>
      </c>
      <c r="O60" s="46">
        <f t="shared" si="4"/>
        <v>0</v>
      </c>
      <c r="P60" s="47">
        <f t="shared" si="5"/>
        <v>0</v>
      </c>
      <c r="S60" s="44"/>
      <c r="T60" s="51" t="s">
        <v>100</v>
      </c>
      <c r="U60" s="41"/>
      <c r="V60" s="46"/>
      <c r="W60" s="47"/>
    </row>
    <row r="61" spans="1:23" ht="20.399999999999999" x14ac:dyDescent="0.25">
      <c r="A61" s="108"/>
      <c r="B61" s="110"/>
      <c r="C61" s="117"/>
      <c r="D61" s="117"/>
      <c r="E61" s="114"/>
      <c r="F61" s="116"/>
      <c r="G61" s="44"/>
      <c r="H61" s="51">
        <v>2832.11</v>
      </c>
      <c r="I61" s="41"/>
      <c r="J61" s="46"/>
      <c r="K61" s="47"/>
      <c r="L61" s="39">
        <f t="shared" si="1"/>
        <v>0</v>
      </c>
      <c r="M61" s="51">
        <f t="shared" si="2"/>
        <v>2832.11</v>
      </c>
      <c r="N61" s="41">
        <f t="shared" si="3"/>
        <v>0</v>
      </c>
      <c r="O61" s="46">
        <f t="shared" si="4"/>
        <v>0</v>
      </c>
      <c r="P61" s="47">
        <f t="shared" si="5"/>
        <v>0</v>
      </c>
      <c r="S61" s="44"/>
      <c r="T61" s="51" t="s">
        <v>99</v>
      </c>
      <c r="U61" s="41"/>
      <c r="V61" s="46"/>
      <c r="W61" s="47"/>
    </row>
    <row r="62" spans="1:23" ht="20.399999999999999" x14ac:dyDescent="0.25">
      <c r="A62" s="108"/>
      <c r="B62" s="110"/>
      <c r="C62" s="117"/>
      <c r="D62" s="117"/>
      <c r="E62" s="114"/>
      <c r="F62" s="116"/>
      <c r="G62" s="44"/>
      <c r="H62" s="51">
        <v>2832.11</v>
      </c>
      <c r="I62" s="41"/>
      <c r="J62" s="46"/>
      <c r="K62" s="47"/>
      <c r="L62" s="39">
        <f t="shared" si="1"/>
        <v>0</v>
      </c>
      <c r="M62" s="51">
        <f t="shared" si="2"/>
        <v>2832.11</v>
      </c>
      <c r="N62" s="41">
        <f t="shared" si="3"/>
        <v>0</v>
      </c>
      <c r="O62" s="46">
        <f t="shared" si="4"/>
        <v>0</v>
      </c>
      <c r="P62" s="47">
        <f t="shared" si="5"/>
        <v>0</v>
      </c>
      <c r="S62" s="44"/>
      <c r="T62" s="51" t="s">
        <v>99</v>
      </c>
      <c r="U62" s="41"/>
      <c r="V62" s="46"/>
      <c r="W62" s="47"/>
    </row>
    <row r="63" spans="1:23" ht="20.399999999999999" x14ac:dyDescent="0.25">
      <c r="A63" s="108"/>
      <c r="B63" s="110"/>
      <c r="C63" s="117"/>
      <c r="D63" s="117"/>
      <c r="E63" s="114"/>
      <c r="F63" s="116"/>
      <c r="G63" s="44"/>
      <c r="H63" s="51">
        <v>2832.11</v>
      </c>
      <c r="I63" s="41"/>
      <c r="J63" s="46"/>
      <c r="K63" s="47"/>
      <c r="L63" s="39">
        <f t="shared" si="1"/>
        <v>0</v>
      </c>
      <c r="M63" s="51">
        <f t="shared" si="2"/>
        <v>2832.11</v>
      </c>
      <c r="N63" s="41">
        <f t="shared" si="3"/>
        <v>0</v>
      </c>
      <c r="O63" s="46">
        <f t="shared" si="4"/>
        <v>0</v>
      </c>
      <c r="P63" s="47">
        <f t="shared" si="5"/>
        <v>0</v>
      </c>
      <c r="S63" s="44"/>
      <c r="T63" s="51" t="s">
        <v>101</v>
      </c>
      <c r="U63" s="41"/>
      <c r="V63" s="46"/>
      <c r="W63" s="47"/>
    </row>
    <row r="64" spans="1:23" ht="20.399999999999999" x14ac:dyDescent="0.25">
      <c r="A64" s="108"/>
      <c r="B64" s="110"/>
      <c r="C64" s="117"/>
      <c r="D64" s="117"/>
      <c r="E64" s="114"/>
      <c r="F64" s="116"/>
      <c r="G64" s="44"/>
      <c r="H64" s="51">
        <v>2832.11</v>
      </c>
      <c r="I64" s="41"/>
      <c r="J64" s="46"/>
      <c r="K64" s="47"/>
      <c r="L64" s="39">
        <f t="shared" si="1"/>
        <v>0</v>
      </c>
      <c r="M64" s="51">
        <f t="shared" si="2"/>
        <v>2832.11</v>
      </c>
      <c r="N64" s="41">
        <f t="shared" si="3"/>
        <v>0</v>
      </c>
      <c r="O64" s="46">
        <f t="shared" si="4"/>
        <v>0</v>
      </c>
      <c r="P64" s="47">
        <f t="shared" si="5"/>
        <v>0</v>
      </c>
      <c r="S64" s="44"/>
      <c r="T64" s="51" t="s">
        <v>101</v>
      </c>
      <c r="U64" s="41"/>
      <c r="V64" s="46"/>
      <c r="W64" s="47"/>
    </row>
    <row r="65" spans="1:23" ht="20.399999999999999" x14ac:dyDescent="0.25">
      <c r="A65" s="108"/>
      <c r="B65" s="110"/>
      <c r="C65" s="117"/>
      <c r="D65" s="117"/>
      <c r="E65" s="114"/>
      <c r="F65" s="116"/>
      <c r="G65" s="44"/>
      <c r="H65" s="51">
        <v>2832.11</v>
      </c>
      <c r="I65" s="41"/>
      <c r="J65" s="46"/>
      <c r="K65" s="47"/>
      <c r="L65" s="39">
        <f t="shared" si="1"/>
        <v>0</v>
      </c>
      <c r="M65" s="51">
        <f t="shared" si="2"/>
        <v>2832.11</v>
      </c>
      <c r="N65" s="41">
        <f t="shared" si="3"/>
        <v>0</v>
      </c>
      <c r="O65" s="46">
        <f t="shared" si="4"/>
        <v>0</v>
      </c>
      <c r="P65" s="47">
        <f t="shared" si="5"/>
        <v>0</v>
      </c>
      <c r="S65" s="44"/>
      <c r="T65" s="51" t="s">
        <v>101</v>
      </c>
      <c r="U65" s="41"/>
      <c r="V65" s="46"/>
      <c r="W65" s="47"/>
    </row>
    <row r="66" spans="1:23" ht="20.399999999999999" x14ac:dyDescent="0.25">
      <c r="A66" s="108"/>
      <c r="B66" s="110"/>
      <c r="C66" s="117"/>
      <c r="D66" s="117"/>
      <c r="E66" s="114"/>
      <c r="F66" s="116"/>
      <c r="G66" s="44"/>
      <c r="H66" s="51">
        <v>2832.11</v>
      </c>
      <c r="I66" s="41"/>
      <c r="J66" s="46"/>
      <c r="K66" s="47"/>
      <c r="L66" s="39">
        <f t="shared" si="1"/>
        <v>0</v>
      </c>
      <c r="M66" s="51">
        <f t="shared" si="2"/>
        <v>2832.11</v>
      </c>
      <c r="N66" s="41">
        <f t="shared" si="3"/>
        <v>0</v>
      </c>
      <c r="O66" s="46">
        <f t="shared" si="4"/>
        <v>0</v>
      </c>
      <c r="P66" s="47">
        <f t="shared" si="5"/>
        <v>0</v>
      </c>
      <c r="S66" s="44"/>
      <c r="T66" s="51" t="s">
        <v>101</v>
      </c>
      <c r="U66" s="41"/>
      <c r="V66" s="46"/>
      <c r="W66" s="47"/>
    </row>
    <row r="67" spans="1:23" ht="20.399999999999999" x14ac:dyDescent="0.25">
      <c r="A67" s="108"/>
      <c r="B67" s="110"/>
      <c r="C67" s="117"/>
      <c r="D67" s="117"/>
      <c r="E67" s="114"/>
      <c r="F67" s="116"/>
      <c r="G67" s="44"/>
      <c r="H67" s="51">
        <v>2832.11</v>
      </c>
      <c r="I67" s="41"/>
      <c r="J67" s="46"/>
      <c r="K67" s="47"/>
      <c r="L67" s="39">
        <f t="shared" ref="L67:L84" si="6">IF(OR(G67="NA", G67=0),0,(G67*1))</f>
        <v>0</v>
      </c>
      <c r="M67" s="51">
        <f t="shared" ref="M67:M84" si="7">IF(OR(H67="NA", H67=0),0,(H67*1))</f>
        <v>2832.11</v>
      </c>
      <c r="N67" s="41">
        <f t="shared" ref="N67:N84" si="8">IF(OR(I67="NA", I67=0),0,(I67*1))</f>
        <v>0</v>
      </c>
      <c r="O67" s="46">
        <f t="shared" ref="O67:O84" si="9">IF(OR(J67="NA", J67=0),0,(J67*1))</f>
        <v>0</v>
      </c>
      <c r="P67" s="47">
        <f t="shared" ref="P67:P84" si="10">IF(OR(K67="NA", K67=0),0,(K67*1))</f>
        <v>0</v>
      </c>
      <c r="S67" s="44"/>
      <c r="T67" s="51" t="s">
        <v>101</v>
      </c>
      <c r="U67" s="41"/>
      <c r="V67" s="46"/>
      <c r="W67" s="47"/>
    </row>
    <row r="68" spans="1:23" ht="20.399999999999999" x14ac:dyDescent="0.25">
      <c r="A68" s="108"/>
      <c r="B68" s="110"/>
      <c r="C68" s="117"/>
      <c r="D68" s="117"/>
      <c r="E68" s="114"/>
      <c r="F68" s="116"/>
      <c r="G68" s="44"/>
      <c r="H68" s="51">
        <v>2832.11</v>
      </c>
      <c r="I68" s="41"/>
      <c r="J68" s="46"/>
      <c r="K68" s="47"/>
      <c r="L68" s="39">
        <f t="shared" si="6"/>
        <v>0</v>
      </c>
      <c r="M68" s="51">
        <f t="shared" si="7"/>
        <v>2832.11</v>
      </c>
      <c r="N68" s="41">
        <f t="shared" si="8"/>
        <v>0</v>
      </c>
      <c r="O68" s="46">
        <f t="shared" si="9"/>
        <v>0</v>
      </c>
      <c r="P68" s="47">
        <f t="shared" si="10"/>
        <v>0</v>
      </c>
      <c r="S68" s="44"/>
      <c r="T68" s="51" t="s">
        <v>101</v>
      </c>
      <c r="U68" s="41"/>
      <c r="V68" s="46"/>
      <c r="W68" s="47"/>
    </row>
    <row r="69" spans="1:23" ht="20.399999999999999" x14ac:dyDescent="0.25">
      <c r="A69" s="108"/>
      <c r="B69" s="110"/>
      <c r="C69" s="117"/>
      <c r="D69" s="117"/>
      <c r="E69" s="114"/>
      <c r="F69" s="116"/>
      <c r="G69" s="44"/>
      <c r="H69" s="51">
        <v>2832.11</v>
      </c>
      <c r="I69" s="41"/>
      <c r="J69" s="46"/>
      <c r="K69" s="47"/>
      <c r="L69" s="39">
        <f t="shared" si="6"/>
        <v>0</v>
      </c>
      <c r="M69" s="51">
        <f t="shared" si="7"/>
        <v>2832.11</v>
      </c>
      <c r="N69" s="41">
        <f t="shared" si="8"/>
        <v>0</v>
      </c>
      <c r="O69" s="46">
        <f t="shared" si="9"/>
        <v>0</v>
      </c>
      <c r="P69" s="47">
        <f t="shared" si="10"/>
        <v>0</v>
      </c>
      <c r="S69" s="44"/>
      <c r="T69" s="51" t="s">
        <v>101</v>
      </c>
      <c r="U69" s="41"/>
      <c r="V69" s="46"/>
      <c r="W69" s="47"/>
    </row>
    <row r="70" spans="1:23" ht="20.399999999999999" x14ac:dyDescent="0.25">
      <c r="A70" s="108"/>
      <c r="B70" s="110"/>
      <c r="C70" s="117"/>
      <c r="D70" s="117"/>
      <c r="E70" s="114"/>
      <c r="F70" s="116"/>
      <c r="G70" s="44"/>
      <c r="H70" s="51">
        <v>2832.11</v>
      </c>
      <c r="I70" s="41"/>
      <c r="J70" s="46"/>
      <c r="K70" s="47"/>
      <c r="L70" s="39">
        <f t="shared" si="6"/>
        <v>0</v>
      </c>
      <c r="M70" s="51">
        <f t="shared" si="7"/>
        <v>2832.11</v>
      </c>
      <c r="N70" s="41">
        <f t="shared" si="8"/>
        <v>0</v>
      </c>
      <c r="O70" s="46">
        <f t="shared" si="9"/>
        <v>0</v>
      </c>
      <c r="P70" s="47">
        <f t="shared" si="10"/>
        <v>0</v>
      </c>
      <c r="S70" s="44"/>
      <c r="T70" s="51" t="s">
        <v>101</v>
      </c>
      <c r="U70" s="41"/>
      <c r="V70" s="46"/>
      <c r="W70" s="47"/>
    </row>
    <row r="71" spans="1:23" ht="20.399999999999999" x14ac:dyDescent="0.25">
      <c r="A71" s="108"/>
      <c r="B71" s="110"/>
      <c r="C71" s="117"/>
      <c r="D71" s="117"/>
      <c r="E71" s="114"/>
      <c r="F71" s="116"/>
      <c r="G71" s="44"/>
      <c r="H71" s="51">
        <v>2832.11</v>
      </c>
      <c r="I71" s="41"/>
      <c r="J71" s="46"/>
      <c r="K71" s="47"/>
      <c r="L71" s="39">
        <f t="shared" si="6"/>
        <v>0</v>
      </c>
      <c r="M71" s="51">
        <f t="shared" si="7"/>
        <v>2832.11</v>
      </c>
      <c r="N71" s="41">
        <f t="shared" si="8"/>
        <v>0</v>
      </c>
      <c r="O71" s="46">
        <f t="shared" si="9"/>
        <v>0</v>
      </c>
      <c r="P71" s="47">
        <f t="shared" si="10"/>
        <v>0</v>
      </c>
      <c r="S71" s="44"/>
      <c r="T71" s="51" t="s">
        <v>101</v>
      </c>
      <c r="U71" s="41"/>
      <c r="V71" s="46"/>
      <c r="W71" s="47"/>
    </row>
    <row r="72" spans="1:23" x14ac:dyDescent="0.25">
      <c r="A72" s="108"/>
      <c r="B72" s="110"/>
      <c r="C72" s="117"/>
      <c r="D72" s="117"/>
      <c r="E72" s="49" t="s">
        <v>17</v>
      </c>
      <c r="F72" s="50" t="s">
        <v>24</v>
      </c>
      <c r="G72" s="39">
        <v>17758.990000000002</v>
      </c>
      <c r="H72" s="40"/>
      <c r="I72" s="41"/>
      <c r="J72" s="42">
        <v>21799</v>
      </c>
      <c r="K72" s="43">
        <v>18297.3</v>
      </c>
      <c r="L72" s="39">
        <f t="shared" si="6"/>
        <v>17758.990000000002</v>
      </c>
      <c r="M72" s="40">
        <f t="shared" si="7"/>
        <v>0</v>
      </c>
      <c r="N72" s="41">
        <f t="shared" si="8"/>
        <v>0</v>
      </c>
      <c r="O72" s="42">
        <f t="shared" si="9"/>
        <v>21799</v>
      </c>
      <c r="P72" s="43">
        <f t="shared" si="10"/>
        <v>18297.3</v>
      </c>
      <c r="S72" s="39">
        <v>17758.990000000002</v>
      </c>
      <c r="T72" s="40"/>
      <c r="U72" s="41"/>
      <c r="V72" s="42">
        <v>21799</v>
      </c>
      <c r="W72" s="43">
        <v>18297.3</v>
      </c>
    </row>
    <row r="73" spans="1:23" x14ac:dyDescent="0.25">
      <c r="A73" s="108" t="s">
        <v>131</v>
      </c>
      <c r="B73" s="110">
        <v>6</v>
      </c>
      <c r="C73" s="114" t="s">
        <v>27</v>
      </c>
      <c r="D73" s="114" t="s">
        <v>28</v>
      </c>
      <c r="E73" s="113" t="s">
        <v>11</v>
      </c>
      <c r="F73" s="113"/>
      <c r="G73" s="44"/>
      <c r="H73" s="40"/>
      <c r="I73" s="41"/>
      <c r="J73" s="42">
        <v>64.81</v>
      </c>
      <c r="K73" s="47"/>
      <c r="L73" s="39">
        <f t="shared" si="6"/>
        <v>0</v>
      </c>
      <c r="M73" s="40">
        <f t="shared" si="7"/>
        <v>0</v>
      </c>
      <c r="N73" s="41">
        <f t="shared" si="8"/>
        <v>0</v>
      </c>
      <c r="O73" s="42">
        <f t="shared" si="9"/>
        <v>64.81</v>
      </c>
      <c r="P73" s="47">
        <f t="shared" si="10"/>
        <v>0</v>
      </c>
      <c r="S73" s="44"/>
      <c r="T73" s="40"/>
      <c r="U73" s="41"/>
      <c r="V73" s="42">
        <v>64.81</v>
      </c>
      <c r="W73" s="47"/>
    </row>
    <row r="74" spans="1:23" x14ac:dyDescent="0.25">
      <c r="A74" s="108"/>
      <c r="B74" s="110"/>
      <c r="C74" s="114"/>
      <c r="D74" s="114"/>
      <c r="E74" s="111" t="s">
        <v>16</v>
      </c>
      <c r="F74" s="111"/>
      <c r="G74" s="39">
        <v>187.67</v>
      </c>
      <c r="H74" s="68">
        <v>248.67</v>
      </c>
      <c r="I74" s="41"/>
      <c r="J74" s="46"/>
      <c r="K74" s="43">
        <v>149.16999999999999</v>
      </c>
      <c r="L74" s="39">
        <f t="shared" si="6"/>
        <v>187.67</v>
      </c>
      <c r="M74" s="68">
        <f t="shared" si="7"/>
        <v>248.67</v>
      </c>
      <c r="N74" s="41">
        <f t="shared" si="8"/>
        <v>0</v>
      </c>
      <c r="O74" s="46">
        <f t="shared" si="9"/>
        <v>0</v>
      </c>
      <c r="P74" s="43">
        <f t="shared" si="10"/>
        <v>149.16999999999999</v>
      </c>
      <c r="S74" s="39">
        <v>187.67</v>
      </c>
      <c r="T74" s="68">
        <v>248.67</v>
      </c>
      <c r="U74" s="41"/>
      <c r="V74" s="46"/>
      <c r="W74" s="43">
        <v>149.16999999999999</v>
      </c>
    </row>
    <row r="75" spans="1:23" x14ac:dyDescent="0.25">
      <c r="A75" s="108"/>
      <c r="B75" s="110"/>
      <c r="C75" s="114"/>
      <c r="D75" s="114"/>
      <c r="E75" s="114" t="s">
        <v>13</v>
      </c>
      <c r="F75" s="114"/>
      <c r="G75" s="39">
        <v>147.33000000000001</v>
      </c>
      <c r="H75" s="68">
        <v>107.67</v>
      </c>
      <c r="I75" s="41"/>
      <c r="J75" s="46"/>
      <c r="K75" s="43">
        <v>60</v>
      </c>
      <c r="L75" s="39">
        <f t="shared" si="6"/>
        <v>147.33000000000001</v>
      </c>
      <c r="M75" s="68">
        <f t="shared" si="7"/>
        <v>107.67</v>
      </c>
      <c r="N75" s="41">
        <f t="shared" si="8"/>
        <v>0</v>
      </c>
      <c r="O75" s="46">
        <f t="shared" si="9"/>
        <v>0</v>
      </c>
      <c r="P75" s="43">
        <f t="shared" si="10"/>
        <v>60</v>
      </c>
      <c r="S75" s="39">
        <v>147.33000000000001</v>
      </c>
      <c r="T75" s="68">
        <v>107.67</v>
      </c>
      <c r="U75" s="41"/>
      <c r="V75" s="46"/>
      <c r="W75" s="43">
        <v>60</v>
      </c>
    </row>
    <row r="76" spans="1:23" x14ac:dyDescent="0.25">
      <c r="A76" s="108"/>
      <c r="B76" s="110"/>
      <c r="C76" s="114"/>
      <c r="D76" s="114"/>
      <c r="E76" s="114" t="s">
        <v>17</v>
      </c>
      <c r="F76" s="114"/>
      <c r="G76" s="39">
        <v>74</v>
      </c>
      <c r="H76" s="40"/>
      <c r="I76" s="41"/>
      <c r="J76" s="46"/>
      <c r="K76" s="43">
        <v>59.33</v>
      </c>
      <c r="L76" s="39">
        <f t="shared" si="6"/>
        <v>74</v>
      </c>
      <c r="M76" s="40">
        <f t="shared" si="7"/>
        <v>0</v>
      </c>
      <c r="N76" s="41">
        <f t="shared" si="8"/>
        <v>0</v>
      </c>
      <c r="O76" s="46">
        <f t="shared" si="9"/>
        <v>0</v>
      </c>
      <c r="P76" s="43">
        <f t="shared" si="10"/>
        <v>59.33</v>
      </c>
      <c r="S76" s="39">
        <v>74</v>
      </c>
      <c r="T76" s="40"/>
      <c r="U76" s="41"/>
      <c r="V76" s="46"/>
      <c r="W76" s="43">
        <v>59.33</v>
      </c>
    </row>
    <row r="77" spans="1:23" x14ac:dyDescent="0.25">
      <c r="A77" s="108" t="s">
        <v>131</v>
      </c>
      <c r="B77" s="110">
        <v>7</v>
      </c>
      <c r="C77" s="115" t="s">
        <v>29</v>
      </c>
      <c r="D77" s="112" t="s">
        <v>30</v>
      </c>
      <c r="E77" s="113" t="s">
        <v>11</v>
      </c>
      <c r="F77" s="113"/>
      <c r="G77" s="44"/>
      <c r="H77" s="40"/>
      <c r="I77" s="41"/>
      <c r="J77" s="42">
        <v>99.12</v>
      </c>
      <c r="K77" s="47"/>
      <c r="L77" s="39">
        <f t="shared" si="6"/>
        <v>0</v>
      </c>
      <c r="M77" s="40">
        <f t="shared" si="7"/>
        <v>0</v>
      </c>
      <c r="N77" s="41">
        <f t="shared" si="8"/>
        <v>0</v>
      </c>
      <c r="O77" s="42">
        <f t="shared" si="9"/>
        <v>99.12</v>
      </c>
      <c r="P77" s="47">
        <f t="shared" si="10"/>
        <v>0</v>
      </c>
      <c r="S77" s="44"/>
      <c r="T77" s="40"/>
      <c r="U77" s="41"/>
      <c r="V77" s="42">
        <v>99.12</v>
      </c>
      <c r="W77" s="47"/>
    </row>
    <row r="78" spans="1:23" x14ac:dyDescent="0.25">
      <c r="A78" s="108"/>
      <c r="B78" s="110"/>
      <c r="C78" s="115"/>
      <c r="D78" s="112"/>
      <c r="E78" s="111" t="s">
        <v>16</v>
      </c>
      <c r="F78" s="111"/>
      <c r="G78" s="39">
        <v>99.85</v>
      </c>
      <c r="H78" s="68">
        <v>97.16</v>
      </c>
      <c r="I78" s="41"/>
      <c r="J78" s="46"/>
      <c r="K78" s="43">
        <v>99.64</v>
      </c>
      <c r="L78" s="39">
        <f t="shared" si="6"/>
        <v>99.85</v>
      </c>
      <c r="M78" s="68">
        <f t="shared" si="7"/>
        <v>97.16</v>
      </c>
      <c r="N78" s="41">
        <f t="shared" si="8"/>
        <v>0</v>
      </c>
      <c r="O78" s="46">
        <f t="shared" si="9"/>
        <v>0</v>
      </c>
      <c r="P78" s="43">
        <f t="shared" si="10"/>
        <v>99.64</v>
      </c>
      <c r="S78" s="39">
        <v>99.85</v>
      </c>
      <c r="T78" s="68">
        <v>97.16</v>
      </c>
      <c r="U78" s="41"/>
      <c r="V78" s="46"/>
      <c r="W78" s="43">
        <v>99.64</v>
      </c>
    </row>
    <row r="79" spans="1:23" x14ac:dyDescent="0.25">
      <c r="A79" s="108"/>
      <c r="B79" s="110"/>
      <c r="C79" s="115"/>
      <c r="D79" s="112"/>
      <c r="E79" s="114" t="s">
        <v>13</v>
      </c>
      <c r="F79" s="114"/>
      <c r="G79" s="39">
        <v>99.99</v>
      </c>
      <c r="H79" s="68">
        <v>96.34</v>
      </c>
      <c r="I79" s="41"/>
      <c r="J79" s="46"/>
      <c r="K79" s="43">
        <v>97.8</v>
      </c>
      <c r="L79" s="39">
        <f t="shared" si="6"/>
        <v>99.99</v>
      </c>
      <c r="M79" s="68">
        <f t="shared" si="7"/>
        <v>96.34</v>
      </c>
      <c r="N79" s="41">
        <f t="shared" si="8"/>
        <v>0</v>
      </c>
      <c r="O79" s="46">
        <f t="shared" si="9"/>
        <v>0</v>
      </c>
      <c r="P79" s="43">
        <f t="shared" si="10"/>
        <v>97.8</v>
      </c>
      <c r="S79" s="39">
        <v>99.99</v>
      </c>
      <c r="T79" s="68">
        <v>96.34</v>
      </c>
      <c r="U79" s="41"/>
      <c r="V79" s="46"/>
      <c r="W79" s="43">
        <v>97.8</v>
      </c>
    </row>
    <row r="80" spans="1:23" x14ac:dyDescent="0.25">
      <c r="A80" s="108"/>
      <c r="B80" s="110"/>
      <c r="C80" s="115"/>
      <c r="D80" s="112"/>
      <c r="E80" s="114" t="s">
        <v>17</v>
      </c>
      <c r="F80" s="114"/>
      <c r="G80" s="39">
        <v>99.36</v>
      </c>
      <c r="H80" s="40"/>
      <c r="I80" s="41"/>
      <c r="J80" s="46"/>
      <c r="K80" s="43">
        <v>98.62</v>
      </c>
      <c r="L80" s="39">
        <f t="shared" si="6"/>
        <v>99.36</v>
      </c>
      <c r="M80" s="40">
        <f t="shared" si="7"/>
        <v>0</v>
      </c>
      <c r="N80" s="41">
        <f t="shared" si="8"/>
        <v>0</v>
      </c>
      <c r="O80" s="46">
        <f t="shared" si="9"/>
        <v>0</v>
      </c>
      <c r="P80" s="43">
        <f t="shared" si="10"/>
        <v>98.62</v>
      </c>
      <c r="S80" s="39">
        <v>99.36</v>
      </c>
      <c r="T80" s="40"/>
      <c r="U80" s="41"/>
      <c r="V80" s="46"/>
      <c r="W80" s="43">
        <v>98.62</v>
      </c>
    </row>
    <row r="81" spans="1:23" x14ac:dyDescent="0.25">
      <c r="A81" s="108" t="s">
        <v>131</v>
      </c>
      <c r="B81" s="110">
        <v>8</v>
      </c>
      <c r="C81" s="111" t="s">
        <v>31</v>
      </c>
      <c r="D81" s="112" t="s">
        <v>32</v>
      </c>
      <c r="E81" s="113" t="s">
        <v>11</v>
      </c>
      <c r="F81" s="113"/>
      <c r="G81" s="44"/>
      <c r="H81" s="40"/>
      <c r="I81" s="41"/>
      <c r="J81" s="42">
        <v>0.62</v>
      </c>
      <c r="K81" s="47"/>
      <c r="L81" s="39">
        <f t="shared" si="6"/>
        <v>0</v>
      </c>
      <c r="M81" s="40">
        <f t="shared" si="7"/>
        <v>0</v>
      </c>
      <c r="N81" s="41">
        <f t="shared" si="8"/>
        <v>0</v>
      </c>
      <c r="O81" s="42">
        <f t="shared" si="9"/>
        <v>0.62</v>
      </c>
      <c r="P81" s="47">
        <f t="shared" si="10"/>
        <v>0</v>
      </c>
      <c r="S81" s="44"/>
      <c r="T81" s="40"/>
      <c r="U81" s="41"/>
      <c r="V81" s="42">
        <v>0.62</v>
      </c>
      <c r="W81" s="47"/>
    </row>
    <row r="82" spans="1:23" x14ac:dyDescent="0.25">
      <c r="A82" s="108"/>
      <c r="B82" s="110"/>
      <c r="C82" s="111"/>
      <c r="D82" s="112"/>
      <c r="E82" s="111" t="s">
        <v>16</v>
      </c>
      <c r="F82" s="111"/>
      <c r="G82" s="39">
        <v>2.73</v>
      </c>
      <c r="H82" s="40"/>
      <c r="I82" s="41"/>
      <c r="J82" s="46"/>
      <c r="K82" s="43">
        <v>3.42</v>
      </c>
      <c r="L82" s="39">
        <f t="shared" si="6"/>
        <v>2.73</v>
      </c>
      <c r="M82" s="40">
        <f t="shared" si="7"/>
        <v>0</v>
      </c>
      <c r="N82" s="41">
        <f t="shared" si="8"/>
        <v>0</v>
      </c>
      <c r="O82" s="46">
        <f t="shared" si="9"/>
        <v>0</v>
      </c>
      <c r="P82" s="43">
        <f t="shared" si="10"/>
        <v>3.42</v>
      </c>
      <c r="S82" s="39">
        <v>2.73</v>
      </c>
      <c r="T82" s="40"/>
      <c r="U82" s="41"/>
      <c r="V82" s="46"/>
      <c r="W82" s="43">
        <v>3.42</v>
      </c>
    </row>
    <row r="83" spans="1:23" x14ac:dyDescent="0.25">
      <c r="A83" s="108"/>
      <c r="B83" s="110"/>
      <c r="C83" s="111"/>
      <c r="D83" s="112"/>
      <c r="E83" s="114" t="s">
        <v>13</v>
      </c>
      <c r="F83" s="114"/>
      <c r="G83" s="39">
        <v>0.45</v>
      </c>
      <c r="H83" s="68">
        <v>0</v>
      </c>
      <c r="I83" s="41"/>
      <c r="J83" s="46"/>
      <c r="K83" s="43">
        <v>0.81</v>
      </c>
      <c r="L83" s="39">
        <f t="shared" si="6"/>
        <v>0.45</v>
      </c>
      <c r="M83" s="68">
        <f t="shared" si="7"/>
        <v>0</v>
      </c>
      <c r="N83" s="41">
        <f t="shared" si="8"/>
        <v>0</v>
      </c>
      <c r="O83" s="46">
        <f t="shared" si="9"/>
        <v>0</v>
      </c>
      <c r="P83" s="43">
        <f t="shared" si="10"/>
        <v>0.81</v>
      </c>
      <c r="S83" s="39">
        <v>0.45</v>
      </c>
      <c r="T83" s="68">
        <v>0</v>
      </c>
      <c r="U83" s="41"/>
      <c r="V83" s="46"/>
      <c r="W83" s="43">
        <v>0.81</v>
      </c>
    </row>
    <row r="84" spans="1:23" x14ac:dyDescent="0.25">
      <c r="A84" s="108"/>
      <c r="B84" s="110"/>
      <c r="C84" s="111"/>
      <c r="D84" s="112"/>
      <c r="E84" s="114" t="s">
        <v>17</v>
      </c>
      <c r="F84" s="114"/>
      <c r="G84" s="39">
        <v>0.42</v>
      </c>
      <c r="H84" s="40"/>
      <c r="I84" s="41"/>
      <c r="J84" s="46"/>
      <c r="K84" s="43">
        <v>0.6</v>
      </c>
      <c r="L84" s="39">
        <f t="shared" si="6"/>
        <v>0.42</v>
      </c>
      <c r="M84" s="40">
        <f t="shared" si="7"/>
        <v>0</v>
      </c>
      <c r="N84" s="41">
        <f t="shared" si="8"/>
        <v>0</v>
      </c>
      <c r="O84" s="46">
        <f t="shared" si="9"/>
        <v>0</v>
      </c>
      <c r="P84" s="43">
        <f t="shared" si="10"/>
        <v>0.6</v>
      </c>
      <c r="S84" s="39">
        <v>0.42</v>
      </c>
      <c r="T84" s="40"/>
      <c r="U84" s="41"/>
      <c r="V84" s="46"/>
      <c r="W84" s="43">
        <v>0.6</v>
      </c>
    </row>
  </sheetData>
  <mergeCells count="66">
    <mergeCell ref="B2:B4"/>
    <mergeCell ref="C2:C4"/>
    <mergeCell ref="D2:D4"/>
    <mergeCell ref="E2:F2"/>
    <mergeCell ref="E3:F3"/>
    <mergeCell ref="E4:F4"/>
    <mergeCell ref="B5:B8"/>
    <mergeCell ref="C5:C8"/>
    <mergeCell ref="D5:D8"/>
    <mergeCell ref="E5:F5"/>
    <mergeCell ref="E6:F6"/>
    <mergeCell ref="E7:F7"/>
    <mergeCell ref="E8:F8"/>
    <mergeCell ref="E76:F76"/>
    <mergeCell ref="B73:B76"/>
    <mergeCell ref="E31:E41"/>
    <mergeCell ref="F31:F41"/>
    <mergeCell ref="B43:B72"/>
    <mergeCell ref="C43:C72"/>
    <mergeCell ref="D43:D72"/>
    <mergeCell ref="E44:E57"/>
    <mergeCell ref="F45:F57"/>
    <mergeCell ref="E58:E71"/>
    <mergeCell ref="F59:F71"/>
    <mergeCell ref="E73:F73"/>
    <mergeCell ref="E74:F74"/>
    <mergeCell ref="E75:F75"/>
    <mergeCell ref="E81:F81"/>
    <mergeCell ref="E82:F82"/>
    <mergeCell ref="E83:F83"/>
    <mergeCell ref="E84:F84"/>
    <mergeCell ref="B77:B80"/>
    <mergeCell ref="C77:C80"/>
    <mergeCell ref="D77:D80"/>
    <mergeCell ref="E77:F77"/>
    <mergeCell ref="E78:F78"/>
    <mergeCell ref="E79:F79"/>
    <mergeCell ref="E80:F80"/>
    <mergeCell ref="A2:A4"/>
    <mergeCell ref="E1:F1"/>
    <mergeCell ref="A5:A8"/>
    <mergeCell ref="A9:A12"/>
    <mergeCell ref="A13:A42"/>
    <mergeCell ref="E14:E27"/>
    <mergeCell ref="F15:F27"/>
    <mergeCell ref="E28:E30"/>
    <mergeCell ref="F29:F30"/>
    <mergeCell ref="B9:B12"/>
    <mergeCell ref="C9:C12"/>
    <mergeCell ref="D9:D12"/>
    <mergeCell ref="E9:F9"/>
    <mergeCell ref="E10:F10"/>
    <mergeCell ref="E11:F11"/>
    <mergeCell ref="E12:F12"/>
    <mergeCell ref="A77:A80"/>
    <mergeCell ref="A81:A84"/>
    <mergeCell ref="C13:C42"/>
    <mergeCell ref="B13:B42"/>
    <mergeCell ref="D13:D42"/>
    <mergeCell ref="C73:C76"/>
    <mergeCell ref="D73:D76"/>
    <mergeCell ref="A43:A72"/>
    <mergeCell ref="A73:A76"/>
    <mergeCell ref="B81:B84"/>
    <mergeCell ref="C81:C84"/>
    <mergeCell ref="D81:D8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W189"/>
  <sheetViews>
    <sheetView topLeftCell="A146" zoomScaleNormal="100" workbookViewId="0">
      <selection activeCell="P1" sqref="P1:P1048576"/>
    </sheetView>
  </sheetViews>
  <sheetFormatPr defaultRowHeight="13.2" x14ac:dyDescent="0.25"/>
  <cols>
    <col min="1" max="1" width="19.88671875" customWidth="1"/>
  </cols>
  <sheetData>
    <row r="1" spans="1:23" ht="40.799999999999997" x14ac:dyDescent="0.25">
      <c r="A1" s="31" t="s">
        <v>115</v>
      </c>
      <c r="B1" s="32" t="s">
        <v>0</v>
      </c>
      <c r="C1" s="66" t="s">
        <v>1</v>
      </c>
      <c r="D1" s="67" t="s">
        <v>2</v>
      </c>
      <c r="E1" s="109" t="s">
        <v>3</v>
      </c>
      <c r="F1" s="109"/>
      <c r="G1" s="34" t="s">
        <v>4</v>
      </c>
      <c r="H1" s="35" t="s">
        <v>5</v>
      </c>
      <c r="I1" s="36" t="s">
        <v>6</v>
      </c>
      <c r="J1" s="37" t="s">
        <v>7</v>
      </c>
      <c r="K1" s="38" t="s">
        <v>8</v>
      </c>
      <c r="L1" s="34" t="s">
        <v>4</v>
      </c>
      <c r="M1" s="35" t="s">
        <v>5</v>
      </c>
      <c r="N1" s="36" t="s">
        <v>6</v>
      </c>
      <c r="O1" s="37" t="s">
        <v>7</v>
      </c>
      <c r="P1" s="38" t="s">
        <v>8</v>
      </c>
      <c r="S1" s="34" t="s">
        <v>4</v>
      </c>
      <c r="T1" s="35" t="s">
        <v>5</v>
      </c>
      <c r="U1" s="36" t="s">
        <v>6</v>
      </c>
      <c r="V1" s="37" t="s">
        <v>7</v>
      </c>
      <c r="W1" s="38" t="s">
        <v>8</v>
      </c>
    </row>
    <row r="2" spans="1:23" x14ac:dyDescent="0.25">
      <c r="A2" s="133" t="s">
        <v>133</v>
      </c>
      <c r="B2" s="110">
        <v>1</v>
      </c>
      <c r="C2" s="118" t="s">
        <v>9</v>
      </c>
      <c r="D2" s="118" t="s">
        <v>33</v>
      </c>
      <c r="E2" s="113" t="s">
        <v>11</v>
      </c>
      <c r="F2" s="113"/>
      <c r="G2" s="39">
        <v>100</v>
      </c>
      <c r="H2" s="40"/>
      <c r="I2" s="41"/>
      <c r="J2" s="42">
        <v>98.64</v>
      </c>
      <c r="K2" s="43">
        <v>99.94</v>
      </c>
      <c r="L2" s="39">
        <f>IF(OR(G2="NA", G2=0),0,(1*G2))</f>
        <v>100</v>
      </c>
      <c r="M2" s="40">
        <f t="shared" ref="M2:P2" si="0">IF(OR(H2="NA", H2=0),0,(1*H2))</f>
        <v>0</v>
      </c>
      <c r="N2" s="41">
        <f t="shared" si="0"/>
        <v>0</v>
      </c>
      <c r="O2" s="42">
        <f t="shared" si="0"/>
        <v>98.64</v>
      </c>
      <c r="P2" s="43">
        <f t="shared" si="0"/>
        <v>99.94</v>
      </c>
      <c r="S2" s="39">
        <v>100</v>
      </c>
      <c r="T2" s="40"/>
      <c r="U2" s="41"/>
      <c r="V2" s="42">
        <v>98.64</v>
      </c>
      <c r="W2" s="43">
        <v>99.94</v>
      </c>
    </row>
    <row r="3" spans="1:23" x14ac:dyDescent="0.25">
      <c r="A3" s="147"/>
      <c r="B3" s="110"/>
      <c r="C3" s="118"/>
      <c r="D3" s="118"/>
      <c r="E3" s="111" t="s">
        <v>16</v>
      </c>
      <c r="F3" s="111"/>
      <c r="G3" s="44"/>
      <c r="H3" s="68">
        <v>100</v>
      </c>
      <c r="I3" s="41"/>
      <c r="J3" s="46"/>
      <c r="K3" s="47"/>
      <c r="L3" s="39">
        <f t="shared" ref="L3:L66" si="1">IF(OR(G3="NA", G3=0),0,(1*G3))</f>
        <v>0</v>
      </c>
      <c r="M3" s="68">
        <f t="shared" ref="M3:M66" si="2">IF(OR(H3="NA", H3=0),0,(1*H3))</f>
        <v>100</v>
      </c>
      <c r="N3" s="41">
        <f t="shared" ref="N3:N66" si="3">IF(OR(I3="NA", I3=0),0,(1*I3))</f>
        <v>0</v>
      </c>
      <c r="O3" s="46">
        <f t="shared" ref="O3:O66" si="4">IF(OR(J3="NA", J3=0),0,(1*J3))</f>
        <v>0</v>
      </c>
      <c r="P3" s="47">
        <f t="shared" ref="P3:P66" si="5">IF(OR(K3="NA", K3=0),0,(1*K3))</f>
        <v>0</v>
      </c>
      <c r="S3" s="44"/>
      <c r="T3" s="68">
        <v>100</v>
      </c>
      <c r="U3" s="41"/>
      <c r="V3" s="46"/>
      <c r="W3" s="47"/>
    </row>
    <row r="4" spans="1:23" x14ac:dyDescent="0.25">
      <c r="A4" s="147"/>
      <c r="B4" s="110"/>
      <c r="C4" s="118"/>
      <c r="D4" s="118"/>
      <c r="E4" s="114" t="s">
        <v>13</v>
      </c>
      <c r="F4" s="114"/>
      <c r="G4" s="44"/>
      <c r="H4" s="146">
        <v>100</v>
      </c>
      <c r="I4" s="41"/>
      <c r="J4" s="46"/>
      <c r="K4" s="47"/>
      <c r="L4" s="39">
        <f t="shared" si="1"/>
        <v>0</v>
      </c>
      <c r="M4" s="146">
        <f t="shared" si="2"/>
        <v>100</v>
      </c>
      <c r="N4" s="41">
        <f t="shared" si="3"/>
        <v>0</v>
      </c>
      <c r="O4" s="46">
        <f t="shared" si="4"/>
        <v>0</v>
      </c>
      <c r="P4" s="47">
        <f t="shared" si="5"/>
        <v>0</v>
      </c>
      <c r="S4" s="44"/>
      <c r="T4" s="146">
        <v>100</v>
      </c>
      <c r="U4" s="41"/>
      <c r="V4" s="46"/>
      <c r="W4" s="47"/>
    </row>
    <row r="5" spans="1:23" x14ac:dyDescent="0.25">
      <c r="A5" s="148"/>
      <c r="B5" s="110"/>
      <c r="C5" s="118"/>
      <c r="D5" s="118"/>
      <c r="E5" s="114" t="s">
        <v>17</v>
      </c>
      <c r="F5" s="114"/>
      <c r="G5" s="44"/>
      <c r="H5" s="146"/>
      <c r="I5" s="41"/>
      <c r="J5" s="46"/>
      <c r="K5" s="47"/>
      <c r="L5" s="39">
        <f t="shared" si="1"/>
        <v>0</v>
      </c>
      <c r="M5" s="146"/>
      <c r="N5" s="41">
        <f t="shared" si="3"/>
        <v>0</v>
      </c>
      <c r="O5" s="46">
        <f t="shared" si="4"/>
        <v>0</v>
      </c>
      <c r="P5" s="47">
        <f t="shared" si="5"/>
        <v>0</v>
      </c>
      <c r="S5" s="44"/>
      <c r="T5" s="146"/>
      <c r="U5" s="41"/>
      <c r="V5" s="46"/>
      <c r="W5" s="47"/>
    </row>
    <row r="6" spans="1:23" x14ac:dyDescent="0.25">
      <c r="A6" s="133" t="s">
        <v>133</v>
      </c>
      <c r="B6" s="110">
        <v>2</v>
      </c>
      <c r="C6" s="114" t="s">
        <v>14</v>
      </c>
      <c r="D6" s="114" t="s">
        <v>15</v>
      </c>
      <c r="E6" s="113" t="s">
        <v>11</v>
      </c>
      <c r="F6" s="113"/>
      <c r="G6" s="44"/>
      <c r="H6" s="40"/>
      <c r="I6" s="41"/>
      <c r="J6" s="42">
        <v>100</v>
      </c>
      <c r="K6" s="47"/>
      <c r="L6" s="39">
        <f t="shared" si="1"/>
        <v>0</v>
      </c>
      <c r="M6" s="40">
        <f t="shared" si="2"/>
        <v>0</v>
      </c>
      <c r="N6" s="41">
        <f t="shared" si="3"/>
        <v>0</v>
      </c>
      <c r="O6" s="42">
        <f t="shared" si="4"/>
        <v>100</v>
      </c>
      <c r="P6" s="47">
        <f t="shared" si="5"/>
        <v>0</v>
      </c>
      <c r="S6" s="44"/>
      <c r="T6" s="40"/>
      <c r="U6" s="41"/>
      <c r="V6" s="42">
        <v>100</v>
      </c>
      <c r="W6" s="47"/>
    </row>
    <row r="7" spans="1:23" x14ac:dyDescent="0.25">
      <c r="A7" s="147"/>
      <c r="B7" s="110"/>
      <c r="C7" s="114"/>
      <c r="D7" s="114"/>
      <c r="E7" s="111" t="s">
        <v>16</v>
      </c>
      <c r="F7" s="111"/>
      <c r="G7" s="39">
        <v>100</v>
      </c>
      <c r="H7" s="68">
        <v>100</v>
      </c>
      <c r="I7" s="41"/>
      <c r="J7" s="46"/>
      <c r="K7" s="43">
        <v>100</v>
      </c>
      <c r="L7" s="39">
        <f t="shared" si="1"/>
        <v>100</v>
      </c>
      <c r="M7" s="68">
        <f t="shared" si="2"/>
        <v>100</v>
      </c>
      <c r="N7" s="41">
        <f t="shared" si="3"/>
        <v>0</v>
      </c>
      <c r="O7" s="46">
        <f t="shared" si="4"/>
        <v>0</v>
      </c>
      <c r="P7" s="43">
        <f t="shared" si="5"/>
        <v>100</v>
      </c>
      <c r="S7" s="39">
        <v>100</v>
      </c>
      <c r="T7" s="68">
        <v>100</v>
      </c>
      <c r="U7" s="41"/>
      <c r="V7" s="46"/>
      <c r="W7" s="43">
        <v>100</v>
      </c>
    </row>
    <row r="8" spans="1:23" x14ac:dyDescent="0.25">
      <c r="A8" s="147"/>
      <c r="B8" s="110"/>
      <c r="C8" s="114"/>
      <c r="D8" s="114"/>
      <c r="E8" s="114" t="s">
        <v>13</v>
      </c>
      <c r="F8" s="114"/>
      <c r="G8" s="53" t="s">
        <v>45</v>
      </c>
      <c r="H8" s="146">
        <v>100</v>
      </c>
      <c r="I8" s="41"/>
      <c r="J8" s="46"/>
      <c r="K8" s="43">
        <v>100</v>
      </c>
      <c r="L8" s="39">
        <f t="shared" si="1"/>
        <v>0</v>
      </c>
      <c r="M8" s="146">
        <f t="shared" si="2"/>
        <v>100</v>
      </c>
      <c r="N8" s="41">
        <f t="shared" si="3"/>
        <v>0</v>
      </c>
      <c r="O8" s="46">
        <f t="shared" si="4"/>
        <v>0</v>
      </c>
      <c r="P8" s="43">
        <f t="shared" si="5"/>
        <v>100</v>
      </c>
      <c r="S8" s="53" t="s">
        <v>45</v>
      </c>
      <c r="T8" s="146">
        <v>100</v>
      </c>
      <c r="U8" s="41"/>
      <c r="V8" s="46"/>
      <c r="W8" s="43">
        <v>100</v>
      </c>
    </row>
    <row r="9" spans="1:23" x14ac:dyDescent="0.25">
      <c r="A9" s="148"/>
      <c r="B9" s="110"/>
      <c r="C9" s="114"/>
      <c r="D9" s="114"/>
      <c r="E9" s="114" t="s">
        <v>17</v>
      </c>
      <c r="F9" s="114"/>
      <c r="G9" s="39">
        <v>100</v>
      </c>
      <c r="H9" s="146"/>
      <c r="I9" s="41"/>
      <c r="J9" s="46"/>
      <c r="K9" s="43">
        <v>100</v>
      </c>
      <c r="L9" s="39">
        <f t="shared" si="1"/>
        <v>100</v>
      </c>
      <c r="M9" s="146"/>
      <c r="N9" s="41">
        <f t="shared" si="3"/>
        <v>0</v>
      </c>
      <c r="O9" s="46">
        <f t="shared" si="4"/>
        <v>0</v>
      </c>
      <c r="P9" s="43">
        <f t="shared" si="5"/>
        <v>100</v>
      </c>
      <c r="S9" s="39">
        <v>100</v>
      </c>
      <c r="T9" s="146"/>
      <c r="U9" s="41"/>
      <c r="V9" s="46"/>
      <c r="W9" s="43">
        <v>100</v>
      </c>
    </row>
    <row r="10" spans="1:23" x14ac:dyDescent="0.25">
      <c r="A10" s="133" t="s">
        <v>133</v>
      </c>
      <c r="B10" s="110">
        <v>3</v>
      </c>
      <c r="C10" s="114" t="s">
        <v>18</v>
      </c>
      <c r="D10" s="114" t="s">
        <v>19</v>
      </c>
      <c r="E10" s="113" t="s">
        <v>11</v>
      </c>
      <c r="F10" s="113"/>
      <c r="G10" s="44"/>
      <c r="H10" s="40"/>
      <c r="I10" s="41"/>
      <c r="J10" s="42">
        <v>100</v>
      </c>
      <c r="K10" s="47"/>
      <c r="L10" s="39">
        <f t="shared" si="1"/>
        <v>0</v>
      </c>
      <c r="M10" s="40">
        <f t="shared" si="2"/>
        <v>0</v>
      </c>
      <c r="N10" s="41">
        <f t="shared" si="3"/>
        <v>0</v>
      </c>
      <c r="O10" s="42">
        <f t="shared" si="4"/>
        <v>100</v>
      </c>
      <c r="P10" s="47">
        <f t="shared" si="5"/>
        <v>0</v>
      </c>
      <c r="S10" s="44"/>
      <c r="T10" s="40"/>
      <c r="U10" s="41"/>
      <c r="V10" s="42">
        <v>100</v>
      </c>
      <c r="W10" s="47"/>
    </row>
    <row r="11" spans="1:23" x14ac:dyDescent="0.25">
      <c r="A11" s="147"/>
      <c r="B11" s="110"/>
      <c r="C11" s="114"/>
      <c r="D11" s="114"/>
      <c r="E11" s="111" t="s">
        <v>16</v>
      </c>
      <c r="F11" s="111"/>
      <c r="G11" s="39">
        <v>100</v>
      </c>
      <c r="H11" s="68">
        <v>100</v>
      </c>
      <c r="I11" s="41"/>
      <c r="J11" s="46"/>
      <c r="K11" s="43">
        <v>100</v>
      </c>
      <c r="L11" s="39">
        <f t="shared" si="1"/>
        <v>100</v>
      </c>
      <c r="M11" s="68">
        <f t="shared" si="2"/>
        <v>100</v>
      </c>
      <c r="N11" s="41">
        <f t="shared" si="3"/>
        <v>0</v>
      </c>
      <c r="O11" s="46">
        <f t="shared" si="4"/>
        <v>0</v>
      </c>
      <c r="P11" s="43">
        <f t="shared" si="5"/>
        <v>100</v>
      </c>
      <c r="S11" s="39">
        <v>100</v>
      </c>
      <c r="T11" s="68">
        <v>100</v>
      </c>
      <c r="U11" s="41"/>
      <c r="V11" s="46"/>
      <c r="W11" s="43">
        <v>100</v>
      </c>
    </row>
    <row r="12" spans="1:23" x14ac:dyDescent="0.25">
      <c r="A12" s="147"/>
      <c r="B12" s="110"/>
      <c r="C12" s="114"/>
      <c r="D12" s="114"/>
      <c r="E12" s="114" t="s">
        <v>13</v>
      </c>
      <c r="F12" s="114"/>
      <c r="G12" s="53" t="s">
        <v>45</v>
      </c>
      <c r="H12" s="146">
        <v>100</v>
      </c>
      <c r="I12" s="41"/>
      <c r="J12" s="46"/>
      <c r="K12" s="43">
        <v>100</v>
      </c>
      <c r="L12" s="39">
        <f t="shared" si="1"/>
        <v>0</v>
      </c>
      <c r="M12" s="146">
        <f t="shared" si="2"/>
        <v>100</v>
      </c>
      <c r="N12" s="41">
        <f t="shared" si="3"/>
        <v>0</v>
      </c>
      <c r="O12" s="46">
        <f t="shared" si="4"/>
        <v>0</v>
      </c>
      <c r="P12" s="43">
        <f t="shared" si="5"/>
        <v>100</v>
      </c>
      <c r="S12" s="53" t="s">
        <v>45</v>
      </c>
      <c r="T12" s="146">
        <v>100</v>
      </c>
      <c r="U12" s="41"/>
      <c r="V12" s="46"/>
      <c r="W12" s="43">
        <v>100</v>
      </c>
    </row>
    <row r="13" spans="1:23" x14ac:dyDescent="0.25">
      <c r="A13" s="148"/>
      <c r="B13" s="110"/>
      <c r="C13" s="114"/>
      <c r="D13" s="114"/>
      <c r="E13" s="114" t="s">
        <v>17</v>
      </c>
      <c r="F13" s="114"/>
      <c r="G13" s="39">
        <v>100</v>
      </c>
      <c r="H13" s="146"/>
      <c r="I13" s="41"/>
      <c r="J13" s="46"/>
      <c r="K13" s="43">
        <v>100</v>
      </c>
      <c r="L13" s="39">
        <f t="shared" si="1"/>
        <v>100</v>
      </c>
      <c r="M13" s="146"/>
      <c r="N13" s="41">
        <f t="shared" si="3"/>
        <v>0</v>
      </c>
      <c r="O13" s="46">
        <f t="shared" si="4"/>
        <v>0</v>
      </c>
      <c r="P13" s="43">
        <f t="shared" si="5"/>
        <v>100</v>
      </c>
      <c r="S13" s="39">
        <v>100</v>
      </c>
      <c r="T13" s="146"/>
      <c r="U13" s="41"/>
      <c r="V13" s="46"/>
      <c r="W13" s="43">
        <v>100</v>
      </c>
    </row>
    <row r="14" spans="1:23" ht="13.2" customHeight="1" x14ac:dyDescent="0.25">
      <c r="A14" s="130" t="s">
        <v>133</v>
      </c>
      <c r="B14" s="143">
        <v>4</v>
      </c>
      <c r="C14" s="140" t="s">
        <v>20</v>
      </c>
      <c r="D14" s="140" t="s">
        <v>21</v>
      </c>
      <c r="E14" s="69" t="s">
        <v>22</v>
      </c>
      <c r="F14" s="50" t="s">
        <v>23</v>
      </c>
      <c r="G14" s="44"/>
      <c r="H14" s="40"/>
      <c r="I14" s="41"/>
      <c r="J14" s="46"/>
      <c r="K14" s="47"/>
      <c r="L14" s="39">
        <f t="shared" si="1"/>
        <v>0</v>
      </c>
      <c r="M14" s="40">
        <f t="shared" si="2"/>
        <v>0</v>
      </c>
      <c r="N14" s="41">
        <f t="shared" si="3"/>
        <v>0</v>
      </c>
      <c r="O14" s="46">
        <f t="shared" si="4"/>
        <v>0</v>
      </c>
      <c r="P14" s="47">
        <f t="shared" si="5"/>
        <v>0</v>
      </c>
      <c r="S14" s="44"/>
      <c r="T14" s="40"/>
      <c r="U14" s="41"/>
      <c r="V14" s="46"/>
      <c r="W14" s="47"/>
    </row>
    <row r="15" spans="1:23" ht="20.399999999999999" x14ac:dyDescent="0.25">
      <c r="A15" s="131"/>
      <c r="B15" s="144"/>
      <c r="C15" s="141"/>
      <c r="D15" s="141"/>
      <c r="E15" s="140" t="s">
        <v>12</v>
      </c>
      <c r="F15" s="140" t="s">
        <v>23</v>
      </c>
      <c r="G15" s="39">
        <v>176.9</v>
      </c>
      <c r="H15" s="51">
        <v>115</v>
      </c>
      <c r="I15" s="41"/>
      <c r="J15" s="46"/>
      <c r="K15" s="43">
        <v>114.84</v>
      </c>
      <c r="L15" s="39">
        <f t="shared" si="1"/>
        <v>176.9</v>
      </c>
      <c r="M15" s="51">
        <f t="shared" si="2"/>
        <v>115</v>
      </c>
      <c r="N15" s="41">
        <f t="shared" si="3"/>
        <v>0</v>
      </c>
      <c r="O15" s="46">
        <f t="shared" si="4"/>
        <v>0</v>
      </c>
      <c r="P15" s="43">
        <f t="shared" si="5"/>
        <v>114.84</v>
      </c>
      <c r="S15" s="39">
        <v>176.9</v>
      </c>
      <c r="T15" s="51" t="s">
        <v>102</v>
      </c>
      <c r="U15" s="41"/>
      <c r="V15" s="46"/>
      <c r="W15" s="43">
        <v>114.84</v>
      </c>
    </row>
    <row r="16" spans="1:23" ht="20.399999999999999" x14ac:dyDescent="0.25">
      <c r="A16" s="131"/>
      <c r="B16" s="144"/>
      <c r="C16" s="141"/>
      <c r="D16" s="141"/>
      <c r="E16" s="141"/>
      <c r="F16" s="141"/>
      <c r="G16" s="44"/>
      <c r="H16" s="51">
        <v>115</v>
      </c>
      <c r="I16" s="41"/>
      <c r="J16" s="46"/>
      <c r="K16" s="47"/>
      <c r="L16" s="39">
        <f t="shared" si="1"/>
        <v>0</v>
      </c>
      <c r="M16" s="51">
        <f t="shared" si="2"/>
        <v>115</v>
      </c>
      <c r="N16" s="41">
        <f t="shared" si="3"/>
        <v>0</v>
      </c>
      <c r="O16" s="46">
        <f t="shared" si="4"/>
        <v>0</v>
      </c>
      <c r="P16" s="47">
        <f t="shared" si="5"/>
        <v>0</v>
      </c>
      <c r="S16" s="44"/>
      <c r="T16" s="51" t="s">
        <v>102</v>
      </c>
      <c r="U16" s="41"/>
      <c r="V16" s="46"/>
      <c r="W16" s="47"/>
    </row>
    <row r="17" spans="1:23" ht="20.399999999999999" x14ac:dyDescent="0.25">
      <c r="A17" s="131"/>
      <c r="B17" s="144"/>
      <c r="C17" s="141"/>
      <c r="D17" s="141"/>
      <c r="E17" s="141"/>
      <c r="F17" s="141"/>
      <c r="G17" s="44"/>
      <c r="H17" s="51">
        <v>115</v>
      </c>
      <c r="I17" s="41"/>
      <c r="J17" s="46"/>
      <c r="K17" s="47"/>
      <c r="L17" s="39">
        <f t="shared" si="1"/>
        <v>0</v>
      </c>
      <c r="M17" s="51">
        <f t="shared" si="2"/>
        <v>115</v>
      </c>
      <c r="N17" s="41">
        <f t="shared" si="3"/>
        <v>0</v>
      </c>
      <c r="O17" s="46">
        <f t="shared" si="4"/>
        <v>0</v>
      </c>
      <c r="P17" s="47">
        <f t="shared" si="5"/>
        <v>0</v>
      </c>
      <c r="S17" s="44"/>
      <c r="T17" s="51" t="s">
        <v>102</v>
      </c>
      <c r="U17" s="41"/>
      <c r="V17" s="46"/>
      <c r="W17" s="47"/>
    </row>
    <row r="18" spans="1:23" ht="20.399999999999999" x14ac:dyDescent="0.25">
      <c r="A18" s="131"/>
      <c r="B18" s="144"/>
      <c r="C18" s="141"/>
      <c r="D18" s="141"/>
      <c r="E18" s="141"/>
      <c r="F18" s="141"/>
      <c r="G18" s="44"/>
      <c r="H18" s="51">
        <v>115</v>
      </c>
      <c r="I18" s="41"/>
      <c r="J18" s="46"/>
      <c r="K18" s="47"/>
      <c r="L18" s="39">
        <f t="shared" si="1"/>
        <v>0</v>
      </c>
      <c r="M18" s="51">
        <f t="shared" si="2"/>
        <v>115</v>
      </c>
      <c r="N18" s="41">
        <f t="shared" si="3"/>
        <v>0</v>
      </c>
      <c r="O18" s="46">
        <f t="shared" si="4"/>
        <v>0</v>
      </c>
      <c r="P18" s="47">
        <f t="shared" si="5"/>
        <v>0</v>
      </c>
      <c r="S18" s="44"/>
      <c r="T18" s="51" t="s">
        <v>102</v>
      </c>
      <c r="U18" s="41"/>
      <c r="V18" s="46"/>
      <c r="W18" s="47"/>
    </row>
    <row r="19" spans="1:23" ht="20.399999999999999" x14ac:dyDescent="0.25">
      <c r="A19" s="131"/>
      <c r="B19" s="144"/>
      <c r="C19" s="141"/>
      <c r="D19" s="141"/>
      <c r="E19" s="141"/>
      <c r="F19" s="141"/>
      <c r="G19" s="44"/>
      <c r="H19" s="51">
        <v>115</v>
      </c>
      <c r="I19" s="41"/>
      <c r="J19" s="46"/>
      <c r="K19" s="47"/>
      <c r="L19" s="39">
        <f t="shared" si="1"/>
        <v>0</v>
      </c>
      <c r="M19" s="51">
        <f t="shared" si="2"/>
        <v>115</v>
      </c>
      <c r="N19" s="41">
        <f t="shared" si="3"/>
        <v>0</v>
      </c>
      <c r="O19" s="46">
        <f t="shared" si="4"/>
        <v>0</v>
      </c>
      <c r="P19" s="47">
        <f t="shared" si="5"/>
        <v>0</v>
      </c>
      <c r="S19" s="44"/>
      <c r="T19" s="51" t="s">
        <v>102</v>
      </c>
      <c r="U19" s="41"/>
      <c r="V19" s="46"/>
      <c r="W19" s="47"/>
    </row>
    <row r="20" spans="1:23" ht="20.399999999999999" x14ac:dyDescent="0.25">
      <c r="A20" s="131"/>
      <c r="B20" s="144"/>
      <c r="C20" s="141"/>
      <c r="D20" s="141"/>
      <c r="E20" s="141"/>
      <c r="F20" s="141"/>
      <c r="G20" s="44"/>
      <c r="H20" s="51">
        <v>115</v>
      </c>
      <c r="I20" s="41"/>
      <c r="J20" s="46"/>
      <c r="K20" s="47"/>
      <c r="L20" s="39">
        <f t="shared" si="1"/>
        <v>0</v>
      </c>
      <c r="M20" s="51">
        <f t="shared" si="2"/>
        <v>115</v>
      </c>
      <c r="N20" s="41">
        <f t="shared" si="3"/>
        <v>0</v>
      </c>
      <c r="O20" s="46">
        <f t="shared" si="4"/>
        <v>0</v>
      </c>
      <c r="P20" s="47">
        <f t="shared" si="5"/>
        <v>0</v>
      </c>
      <c r="S20" s="44"/>
      <c r="T20" s="51" t="s">
        <v>102</v>
      </c>
      <c r="U20" s="41"/>
      <c r="V20" s="46"/>
      <c r="W20" s="47"/>
    </row>
    <row r="21" spans="1:23" ht="20.399999999999999" x14ac:dyDescent="0.25">
      <c r="A21" s="131"/>
      <c r="B21" s="144"/>
      <c r="C21" s="141"/>
      <c r="D21" s="141"/>
      <c r="E21" s="141"/>
      <c r="F21" s="141"/>
      <c r="G21" s="44"/>
      <c r="H21" s="51">
        <v>115</v>
      </c>
      <c r="I21" s="41"/>
      <c r="J21" s="46"/>
      <c r="K21" s="47"/>
      <c r="L21" s="39">
        <f t="shared" si="1"/>
        <v>0</v>
      </c>
      <c r="M21" s="51">
        <f t="shared" si="2"/>
        <v>115</v>
      </c>
      <c r="N21" s="41">
        <f t="shared" si="3"/>
        <v>0</v>
      </c>
      <c r="O21" s="46">
        <f t="shared" si="4"/>
        <v>0</v>
      </c>
      <c r="P21" s="47">
        <f t="shared" si="5"/>
        <v>0</v>
      </c>
      <c r="S21" s="44"/>
      <c r="T21" s="51" t="s">
        <v>103</v>
      </c>
      <c r="U21" s="41"/>
      <c r="V21" s="46"/>
      <c r="W21" s="47"/>
    </row>
    <row r="22" spans="1:23" ht="20.399999999999999" x14ac:dyDescent="0.25">
      <c r="A22" s="131"/>
      <c r="B22" s="144"/>
      <c r="C22" s="141"/>
      <c r="D22" s="141"/>
      <c r="E22" s="141"/>
      <c r="F22" s="141"/>
      <c r="G22" s="44"/>
      <c r="H22" s="51">
        <v>115</v>
      </c>
      <c r="I22" s="41"/>
      <c r="J22" s="46"/>
      <c r="K22" s="47"/>
      <c r="L22" s="39">
        <f t="shared" si="1"/>
        <v>0</v>
      </c>
      <c r="M22" s="51">
        <f t="shared" si="2"/>
        <v>115</v>
      </c>
      <c r="N22" s="41">
        <f t="shared" si="3"/>
        <v>0</v>
      </c>
      <c r="O22" s="46">
        <f t="shared" si="4"/>
        <v>0</v>
      </c>
      <c r="P22" s="47">
        <f t="shared" si="5"/>
        <v>0</v>
      </c>
      <c r="S22" s="44"/>
      <c r="T22" s="51" t="s">
        <v>103</v>
      </c>
      <c r="U22" s="41"/>
      <c r="V22" s="46"/>
      <c r="W22" s="47"/>
    </row>
    <row r="23" spans="1:23" ht="20.399999999999999" x14ac:dyDescent="0.25">
      <c r="A23" s="131"/>
      <c r="B23" s="144"/>
      <c r="C23" s="141"/>
      <c r="D23" s="141"/>
      <c r="E23" s="141"/>
      <c r="F23" s="141"/>
      <c r="G23" s="44"/>
      <c r="H23" s="51">
        <v>115</v>
      </c>
      <c r="I23" s="41"/>
      <c r="J23" s="46"/>
      <c r="K23" s="47"/>
      <c r="L23" s="39">
        <f t="shared" si="1"/>
        <v>0</v>
      </c>
      <c r="M23" s="51">
        <f t="shared" si="2"/>
        <v>115</v>
      </c>
      <c r="N23" s="41">
        <f t="shared" si="3"/>
        <v>0</v>
      </c>
      <c r="O23" s="46">
        <f t="shared" si="4"/>
        <v>0</v>
      </c>
      <c r="P23" s="47">
        <f t="shared" si="5"/>
        <v>0</v>
      </c>
      <c r="S23" s="44"/>
      <c r="T23" s="51" t="s">
        <v>103</v>
      </c>
      <c r="U23" s="41"/>
      <c r="V23" s="46"/>
      <c r="W23" s="47"/>
    </row>
    <row r="24" spans="1:23" ht="20.399999999999999" x14ac:dyDescent="0.25">
      <c r="A24" s="131"/>
      <c r="B24" s="144"/>
      <c r="C24" s="141"/>
      <c r="D24" s="141"/>
      <c r="E24" s="141"/>
      <c r="F24" s="141"/>
      <c r="G24" s="44"/>
      <c r="H24" s="51">
        <v>115</v>
      </c>
      <c r="I24" s="41"/>
      <c r="J24" s="46"/>
      <c r="K24" s="47"/>
      <c r="L24" s="39">
        <f t="shared" si="1"/>
        <v>0</v>
      </c>
      <c r="M24" s="51">
        <f t="shared" si="2"/>
        <v>115</v>
      </c>
      <c r="N24" s="41">
        <f t="shared" si="3"/>
        <v>0</v>
      </c>
      <c r="O24" s="46">
        <f t="shared" si="4"/>
        <v>0</v>
      </c>
      <c r="P24" s="47">
        <f t="shared" si="5"/>
        <v>0</v>
      </c>
      <c r="S24" s="44"/>
      <c r="T24" s="51" t="s">
        <v>103</v>
      </c>
      <c r="U24" s="41"/>
      <c r="V24" s="46"/>
      <c r="W24" s="47"/>
    </row>
    <row r="25" spans="1:23" ht="20.399999999999999" x14ac:dyDescent="0.25">
      <c r="A25" s="131"/>
      <c r="B25" s="144"/>
      <c r="C25" s="141"/>
      <c r="D25" s="141"/>
      <c r="E25" s="141"/>
      <c r="F25" s="141"/>
      <c r="G25" s="44"/>
      <c r="H25" s="51">
        <v>115</v>
      </c>
      <c r="I25" s="41"/>
      <c r="J25" s="46"/>
      <c r="K25" s="47"/>
      <c r="L25" s="39">
        <f t="shared" si="1"/>
        <v>0</v>
      </c>
      <c r="M25" s="51">
        <f t="shared" si="2"/>
        <v>115</v>
      </c>
      <c r="N25" s="41">
        <f t="shared" si="3"/>
        <v>0</v>
      </c>
      <c r="O25" s="46">
        <f t="shared" si="4"/>
        <v>0</v>
      </c>
      <c r="P25" s="47">
        <f t="shared" si="5"/>
        <v>0</v>
      </c>
      <c r="S25" s="44"/>
      <c r="T25" s="51" t="s">
        <v>103</v>
      </c>
      <c r="U25" s="41"/>
      <c r="V25" s="46"/>
      <c r="W25" s="47"/>
    </row>
    <row r="26" spans="1:23" ht="20.399999999999999" x14ac:dyDescent="0.25">
      <c r="A26" s="131"/>
      <c r="B26" s="144"/>
      <c r="C26" s="141"/>
      <c r="D26" s="141"/>
      <c r="E26" s="141"/>
      <c r="F26" s="141"/>
      <c r="G26" s="44"/>
      <c r="H26" s="51">
        <v>115</v>
      </c>
      <c r="I26" s="41"/>
      <c r="J26" s="46"/>
      <c r="K26" s="47"/>
      <c r="L26" s="39">
        <f t="shared" si="1"/>
        <v>0</v>
      </c>
      <c r="M26" s="51">
        <f t="shared" si="2"/>
        <v>115</v>
      </c>
      <c r="N26" s="41">
        <f t="shared" si="3"/>
        <v>0</v>
      </c>
      <c r="O26" s="46">
        <f t="shared" si="4"/>
        <v>0</v>
      </c>
      <c r="P26" s="47">
        <f t="shared" si="5"/>
        <v>0</v>
      </c>
      <c r="S26" s="44"/>
      <c r="T26" s="51" t="s">
        <v>103</v>
      </c>
      <c r="U26" s="41"/>
      <c r="V26" s="46"/>
      <c r="W26" s="47"/>
    </row>
    <row r="27" spans="1:23" ht="20.399999999999999" x14ac:dyDescent="0.25">
      <c r="A27" s="131"/>
      <c r="B27" s="144"/>
      <c r="C27" s="141"/>
      <c r="D27" s="141"/>
      <c r="E27" s="141"/>
      <c r="F27" s="141"/>
      <c r="G27" s="44"/>
      <c r="H27" s="51">
        <v>115</v>
      </c>
      <c r="I27" s="41"/>
      <c r="J27" s="46"/>
      <c r="K27" s="47"/>
      <c r="L27" s="39">
        <f t="shared" si="1"/>
        <v>0</v>
      </c>
      <c r="M27" s="51">
        <f t="shared" si="2"/>
        <v>115</v>
      </c>
      <c r="N27" s="41">
        <f t="shared" si="3"/>
        <v>0</v>
      </c>
      <c r="O27" s="46">
        <f t="shared" si="4"/>
        <v>0</v>
      </c>
      <c r="P27" s="47">
        <f t="shared" si="5"/>
        <v>0</v>
      </c>
      <c r="S27" s="44"/>
      <c r="T27" s="51" t="s">
        <v>103</v>
      </c>
      <c r="U27" s="41"/>
      <c r="V27" s="46"/>
      <c r="W27" s="47"/>
    </row>
    <row r="28" spans="1:23" ht="20.399999999999999" x14ac:dyDescent="0.25">
      <c r="A28" s="131"/>
      <c r="B28" s="144"/>
      <c r="C28" s="141"/>
      <c r="D28" s="141"/>
      <c r="E28" s="141"/>
      <c r="F28" s="141"/>
      <c r="G28" s="44"/>
      <c r="H28" s="51">
        <v>115</v>
      </c>
      <c r="I28" s="41"/>
      <c r="J28" s="46"/>
      <c r="K28" s="47"/>
      <c r="L28" s="39">
        <f t="shared" si="1"/>
        <v>0</v>
      </c>
      <c r="M28" s="51">
        <f t="shared" si="2"/>
        <v>115</v>
      </c>
      <c r="N28" s="41">
        <f t="shared" si="3"/>
        <v>0</v>
      </c>
      <c r="O28" s="46">
        <f t="shared" si="4"/>
        <v>0</v>
      </c>
      <c r="P28" s="47">
        <f t="shared" si="5"/>
        <v>0</v>
      </c>
      <c r="S28" s="44"/>
      <c r="T28" s="51" t="s">
        <v>103</v>
      </c>
      <c r="U28" s="41"/>
      <c r="V28" s="46"/>
      <c r="W28" s="47"/>
    </row>
    <row r="29" spans="1:23" ht="20.399999999999999" x14ac:dyDescent="0.25">
      <c r="A29" s="131"/>
      <c r="B29" s="144"/>
      <c r="C29" s="141"/>
      <c r="D29" s="141"/>
      <c r="E29" s="141"/>
      <c r="F29" s="141"/>
      <c r="G29" s="44"/>
      <c r="H29" s="51">
        <v>115</v>
      </c>
      <c r="I29" s="41"/>
      <c r="J29" s="46"/>
      <c r="K29" s="47"/>
      <c r="L29" s="39">
        <f t="shared" si="1"/>
        <v>0</v>
      </c>
      <c r="M29" s="51">
        <f t="shared" si="2"/>
        <v>115</v>
      </c>
      <c r="N29" s="41">
        <f t="shared" si="3"/>
        <v>0</v>
      </c>
      <c r="O29" s="46">
        <f t="shared" si="4"/>
        <v>0</v>
      </c>
      <c r="P29" s="47">
        <f t="shared" si="5"/>
        <v>0</v>
      </c>
      <c r="S29" s="44"/>
      <c r="T29" s="51" t="s">
        <v>103</v>
      </c>
      <c r="U29" s="41"/>
      <c r="V29" s="46"/>
      <c r="W29" s="47"/>
    </row>
    <row r="30" spans="1:23" ht="20.399999999999999" x14ac:dyDescent="0.25">
      <c r="A30" s="131"/>
      <c r="B30" s="144"/>
      <c r="C30" s="141"/>
      <c r="D30" s="141"/>
      <c r="E30" s="141"/>
      <c r="F30" s="141"/>
      <c r="G30" s="44"/>
      <c r="H30" s="51">
        <v>115</v>
      </c>
      <c r="I30" s="41"/>
      <c r="J30" s="46"/>
      <c r="K30" s="47"/>
      <c r="L30" s="39">
        <f t="shared" si="1"/>
        <v>0</v>
      </c>
      <c r="M30" s="51">
        <f t="shared" si="2"/>
        <v>115</v>
      </c>
      <c r="N30" s="41">
        <f t="shared" si="3"/>
        <v>0</v>
      </c>
      <c r="O30" s="46">
        <f t="shared" si="4"/>
        <v>0</v>
      </c>
      <c r="P30" s="47">
        <f t="shared" si="5"/>
        <v>0</v>
      </c>
      <c r="S30" s="44"/>
      <c r="T30" s="51" t="s">
        <v>103</v>
      </c>
      <c r="U30" s="41"/>
      <c r="V30" s="46"/>
      <c r="W30" s="47"/>
    </row>
    <row r="31" spans="1:23" ht="20.399999999999999" x14ac:dyDescent="0.25">
      <c r="A31" s="131"/>
      <c r="B31" s="144"/>
      <c r="C31" s="141"/>
      <c r="D31" s="141"/>
      <c r="E31" s="141"/>
      <c r="F31" s="141"/>
      <c r="G31" s="44"/>
      <c r="H31" s="51">
        <v>115</v>
      </c>
      <c r="I31" s="41"/>
      <c r="J31" s="46"/>
      <c r="K31" s="47"/>
      <c r="L31" s="39">
        <f t="shared" si="1"/>
        <v>0</v>
      </c>
      <c r="M31" s="51">
        <f t="shared" si="2"/>
        <v>115</v>
      </c>
      <c r="N31" s="41">
        <f t="shared" si="3"/>
        <v>0</v>
      </c>
      <c r="O31" s="46">
        <f t="shared" si="4"/>
        <v>0</v>
      </c>
      <c r="P31" s="47">
        <f t="shared" si="5"/>
        <v>0</v>
      </c>
      <c r="S31" s="44"/>
      <c r="T31" s="51" t="s">
        <v>103</v>
      </c>
      <c r="U31" s="41"/>
      <c r="V31" s="46"/>
      <c r="W31" s="47"/>
    </row>
    <row r="32" spans="1:23" ht="20.399999999999999" x14ac:dyDescent="0.25">
      <c r="A32" s="131"/>
      <c r="B32" s="144"/>
      <c r="C32" s="141"/>
      <c r="D32" s="141"/>
      <c r="E32" s="141"/>
      <c r="F32" s="141"/>
      <c r="G32" s="44"/>
      <c r="H32" s="51">
        <v>115</v>
      </c>
      <c r="I32" s="41"/>
      <c r="J32" s="46"/>
      <c r="K32" s="47"/>
      <c r="L32" s="39">
        <f t="shared" si="1"/>
        <v>0</v>
      </c>
      <c r="M32" s="51">
        <f t="shared" si="2"/>
        <v>115</v>
      </c>
      <c r="N32" s="41">
        <f t="shared" si="3"/>
        <v>0</v>
      </c>
      <c r="O32" s="46">
        <f t="shared" si="4"/>
        <v>0</v>
      </c>
      <c r="P32" s="47">
        <f t="shared" si="5"/>
        <v>0</v>
      </c>
      <c r="S32" s="44"/>
      <c r="T32" s="51" t="s">
        <v>103</v>
      </c>
      <c r="U32" s="41"/>
      <c r="V32" s="46"/>
      <c r="W32" s="47"/>
    </row>
    <row r="33" spans="1:23" ht="20.399999999999999" x14ac:dyDescent="0.25">
      <c r="A33" s="131"/>
      <c r="B33" s="144"/>
      <c r="C33" s="141"/>
      <c r="D33" s="141"/>
      <c r="E33" s="141"/>
      <c r="F33" s="141"/>
      <c r="G33" s="44"/>
      <c r="H33" s="51">
        <v>115</v>
      </c>
      <c r="I33" s="41"/>
      <c r="J33" s="46"/>
      <c r="K33" s="47"/>
      <c r="L33" s="39">
        <f t="shared" si="1"/>
        <v>0</v>
      </c>
      <c r="M33" s="51">
        <f t="shared" si="2"/>
        <v>115</v>
      </c>
      <c r="N33" s="41">
        <f t="shared" si="3"/>
        <v>0</v>
      </c>
      <c r="O33" s="46">
        <f t="shared" si="4"/>
        <v>0</v>
      </c>
      <c r="P33" s="47">
        <f t="shared" si="5"/>
        <v>0</v>
      </c>
      <c r="S33" s="44"/>
      <c r="T33" s="51" t="s">
        <v>103</v>
      </c>
      <c r="U33" s="41"/>
      <c r="V33" s="46"/>
      <c r="W33" s="47"/>
    </row>
    <row r="34" spans="1:23" ht="20.399999999999999" x14ac:dyDescent="0.25">
      <c r="A34" s="131"/>
      <c r="B34" s="144"/>
      <c r="C34" s="141"/>
      <c r="D34" s="141"/>
      <c r="E34" s="141"/>
      <c r="F34" s="141"/>
      <c r="G34" s="44"/>
      <c r="H34" s="51">
        <v>115</v>
      </c>
      <c r="I34" s="41"/>
      <c r="J34" s="46"/>
      <c r="K34" s="47"/>
      <c r="L34" s="39">
        <f t="shared" si="1"/>
        <v>0</v>
      </c>
      <c r="M34" s="51">
        <f t="shared" si="2"/>
        <v>115</v>
      </c>
      <c r="N34" s="41">
        <f t="shared" si="3"/>
        <v>0</v>
      </c>
      <c r="O34" s="46">
        <f t="shared" si="4"/>
        <v>0</v>
      </c>
      <c r="P34" s="47">
        <f t="shared" si="5"/>
        <v>0</v>
      </c>
      <c r="S34" s="44"/>
      <c r="T34" s="51" t="s">
        <v>103</v>
      </c>
      <c r="U34" s="41"/>
      <c r="V34" s="46"/>
      <c r="W34" s="47"/>
    </row>
    <row r="35" spans="1:23" ht="20.399999999999999" x14ac:dyDescent="0.25">
      <c r="A35" s="131"/>
      <c r="B35" s="144"/>
      <c r="C35" s="141"/>
      <c r="D35" s="141"/>
      <c r="E35" s="141"/>
      <c r="F35" s="141"/>
      <c r="G35" s="44"/>
      <c r="H35" s="51">
        <v>115</v>
      </c>
      <c r="I35" s="41"/>
      <c r="J35" s="46"/>
      <c r="K35" s="47"/>
      <c r="L35" s="39">
        <f t="shared" si="1"/>
        <v>0</v>
      </c>
      <c r="M35" s="51">
        <f t="shared" si="2"/>
        <v>115</v>
      </c>
      <c r="N35" s="41">
        <f t="shared" si="3"/>
        <v>0</v>
      </c>
      <c r="O35" s="46">
        <f t="shared" si="4"/>
        <v>0</v>
      </c>
      <c r="P35" s="47">
        <f t="shared" si="5"/>
        <v>0</v>
      </c>
      <c r="S35" s="44"/>
      <c r="T35" s="51" t="s">
        <v>103</v>
      </c>
      <c r="U35" s="41"/>
      <c r="V35" s="46"/>
      <c r="W35" s="47"/>
    </row>
    <row r="36" spans="1:23" ht="20.399999999999999" x14ac:dyDescent="0.25">
      <c r="A36" s="131"/>
      <c r="B36" s="144"/>
      <c r="C36" s="141"/>
      <c r="D36" s="141"/>
      <c r="E36" s="141"/>
      <c r="F36" s="141"/>
      <c r="G36" s="44"/>
      <c r="H36" s="51">
        <v>115</v>
      </c>
      <c r="I36" s="41"/>
      <c r="J36" s="46"/>
      <c r="K36" s="47"/>
      <c r="L36" s="39">
        <f t="shared" si="1"/>
        <v>0</v>
      </c>
      <c r="M36" s="51">
        <f t="shared" si="2"/>
        <v>115</v>
      </c>
      <c r="N36" s="41">
        <f t="shared" si="3"/>
        <v>0</v>
      </c>
      <c r="O36" s="46">
        <f t="shared" si="4"/>
        <v>0</v>
      </c>
      <c r="P36" s="47">
        <f t="shared" si="5"/>
        <v>0</v>
      </c>
      <c r="S36" s="44"/>
      <c r="T36" s="51" t="s">
        <v>104</v>
      </c>
      <c r="U36" s="41"/>
      <c r="V36" s="46"/>
      <c r="W36" s="47"/>
    </row>
    <row r="37" spans="1:23" ht="20.399999999999999" x14ac:dyDescent="0.25">
      <c r="A37" s="131"/>
      <c r="B37" s="144"/>
      <c r="C37" s="141"/>
      <c r="D37" s="141"/>
      <c r="E37" s="141"/>
      <c r="F37" s="141"/>
      <c r="G37" s="44"/>
      <c r="H37" s="51">
        <v>115</v>
      </c>
      <c r="I37" s="41"/>
      <c r="J37" s="46"/>
      <c r="K37" s="47"/>
      <c r="L37" s="39">
        <f t="shared" si="1"/>
        <v>0</v>
      </c>
      <c r="M37" s="51">
        <f t="shared" si="2"/>
        <v>115</v>
      </c>
      <c r="N37" s="41">
        <f t="shared" si="3"/>
        <v>0</v>
      </c>
      <c r="O37" s="46">
        <f t="shared" si="4"/>
        <v>0</v>
      </c>
      <c r="P37" s="47">
        <f t="shared" si="5"/>
        <v>0</v>
      </c>
      <c r="S37" s="44"/>
      <c r="T37" s="51" t="s">
        <v>104</v>
      </c>
      <c r="U37" s="41"/>
      <c r="V37" s="46"/>
      <c r="W37" s="47"/>
    </row>
    <row r="38" spans="1:23" ht="20.399999999999999" x14ac:dyDescent="0.25">
      <c r="A38" s="131"/>
      <c r="B38" s="144"/>
      <c r="C38" s="141"/>
      <c r="D38" s="141"/>
      <c r="E38" s="141"/>
      <c r="F38" s="141"/>
      <c r="G38" s="44"/>
      <c r="H38" s="51">
        <v>115</v>
      </c>
      <c r="I38" s="41"/>
      <c r="J38" s="46"/>
      <c r="K38" s="47"/>
      <c r="L38" s="39">
        <f t="shared" si="1"/>
        <v>0</v>
      </c>
      <c r="M38" s="51">
        <f t="shared" si="2"/>
        <v>115</v>
      </c>
      <c r="N38" s="41">
        <f t="shared" si="3"/>
        <v>0</v>
      </c>
      <c r="O38" s="46">
        <f t="shared" si="4"/>
        <v>0</v>
      </c>
      <c r="P38" s="47">
        <f t="shared" si="5"/>
        <v>0</v>
      </c>
      <c r="S38" s="44"/>
      <c r="T38" s="51" t="s">
        <v>104</v>
      </c>
      <c r="U38" s="41"/>
      <c r="V38" s="46"/>
      <c r="W38" s="47"/>
    </row>
    <row r="39" spans="1:23" ht="20.399999999999999" x14ac:dyDescent="0.25">
      <c r="A39" s="131"/>
      <c r="B39" s="144"/>
      <c r="C39" s="141"/>
      <c r="D39" s="141"/>
      <c r="E39" s="141"/>
      <c r="F39" s="141"/>
      <c r="G39" s="44"/>
      <c r="H39" s="51">
        <v>115</v>
      </c>
      <c r="I39" s="41"/>
      <c r="J39" s="46"/>
      <c r="K39" s="47"/>
      <c r="L39" s="39">
        <f t="shared" si="1"/>
        <v>0</v>
      </c>
      <c r="M39" s="51">
        <f t="shared" si="2"/>
        <v>115</v>
      </c>
      <c r="N39" s="41">
        <f t="shared" si="3"/>
        <v>0</v>
      </c>
      <c r="O39" s="46">
        <f t="shared" si="4"/>
        <v>0</v>
      </c>
      <c r="P39" s="47">
        <f t="shared" si="5"/>
        <v>0</v>
      </c>
      <c r="S39" s="44"/>
      <c r="T39" s="51" t="s">
        <v>104</v>
      </c>
      <c r="U39" s="41"/>
      <c r="V39" s="46"/>
      <c r="W39" s="47"/>
    </row>
    <row r="40" spans="1:23" ht="20.399999999999999" x14ac:dyDescent="0.25">
      <c r="A40" s="131"/>
      <c r="B40" s="144"/>
      <c r="C40" s="141"/>
      <c r="D40" s="141"/>
      <c r="E40" s="141"/>
      <c r="F40" s="141"/>
      <c r="G40" s="44"/>
      <c r="H40" s="51">
        <v>115</v>
      </c>
      <c r="I40" s="41"/>
      <c r="J40" s="46"/>
      <c r="K40" s="47"/>
      <c r="L40" s="39">
        <f t="shared" si="1"/>
        <v>0</v>
      </c>
      <c r="M40" s="51">
        <f t="shared" si="2"/>
        <v>115</v>
      </c>
      <c r="N40" s="41">
        <f t="shared" si="3"/>
        <v>0</v>
      </c>
      <c r="O40" s="46">
        <f t="shared" si="4"/>
        <v>0</v>
      </c>
      <c r="P40" s="47">
        <f t="shared" si="5"/>
        <v>0</v>
      </c>
      <c r="S40" s="44"/>
      <c r="T40" s="51" t="s">
        <v>104</v>
      </c>
      <c r="U40" s="41"/>
      <c r="V40" s="46"/>
      <c r="W40" s="47"/>
    </row>
    <row r="41" spans="1:23" ht="20.399999999999999" x14ac:dyDescent="0.25">
      <c r="A41" s="131"/>
      <c r="B41" s="144"/>
      <c r="C41" s="141"/>
      <c r="D41" s="141"/>
      <c r="E41" s="142"/>
      <c r="F41" s="142"/>
      <c r="G41" s="44"/>
      <c r="H41" s="51">
        <v>115</v>
      </c>
      <c r="I41" s="41"/>
      <c r="J41" s="46"/>
      <c r="K41" s="47"/>
      <c r="L41" s="39">
        <f t="shared" si="1"/>
        <v>0</v>
      </c>
      <c r="M41" s="51">
        <f t="shared" si="2"/>
        <v>115</v>
      </c>
      <c r="N41" s="41">
        <f t="shared" si="3"/>
        <v>0</v>
      </c>
      <c r="O41" s="46">
        <f t="shared" si="4"/>
        <v>0</v>
      </c>
      <c r="P41" s="47">
        <f t="shared" si="5"/>
        <v>0</v>
      </c>
      <c r="S41" s="44"/>
      <c r="T41" s="51" t="s">
        <v>104</v>
      </c>
      <c r="U41" s="41"/>
      <c r="V41" s="46"/>
      <c r="W41" s="47"/>
    </row>
    <row r="42" spans="1:23" ht="20.399999999999999" x14ac:dyDescent="0.25">
      <c r="A42" s="131"/>
      <c r="B42" s="144"/>
      <c r="C42" s="141"/>
      <c r="D42" s="141"/>
      <c r="E42" s="114" t="s">
        <v>13</v>
      </c>
      <c r="F42" s="50" t="s">
        <v>23</v>
      </c>
      <c r="G42" s="53" t="s">
        <v>45</v>
      </c>
      <c r="H42" s="51">
        <v>1812</v>
      </c>
      <c r="I42" s="41"/>
      <c r="J42" s="46"/>
      <c r="K42" s="43">
        <v>4552.9399999999996</v>
      </c>
      <c r="L42" s="39">
        <f t="shared" si="1"/>
        <v>0</v>
      </c>
      <c r="M42" s="51">
        <f t="shared" si="2"/>
        <v>1812</v>
      </c>
      <c r="N42" s="41">
        <f t="shared" si="3"/>
        <v>0</v>
      </c>
      <c r="O42" s="46">
        <f t="shared" si="4"/>
        <v>0</v>
      </c>
      <c r="P42" s="43">
        <f t="shared" si="5"/>
        <v>4552.9399999999996</v>
      </c>
      <c r="S42" s="53" t="s">
        <v>45</v>
      </c>
      <c r="T42" s="51" t="s">
        <v>105</v>
      </c>
      <c r="U42" s="41"/>
      <c r="V42" s="46"/>
      <c r="W42" s="43">
        <v>4552.9399999999996</v>
      </c>
    </row>
    <row r="43" spans="1:23" ht="20.399999999999999" x14ac:dyDescent="0.25">
      <c r="A43" s="131"/>
      <c r="B43" s="144"/>
      <c r="C43" s="141"/>
      <c r="D43" s="141"/>
      <c r="E43" s="114"/>
      <c r="F43" s="116"/>
      <c r="G43" s="44"/>
      <c r="H43" s="51">
        <v>1812</v>
      </c>
      <c r="I43" s="41"/>
      <c r="J43" s="46"/>
      <c r="K43" s="47"/>
      <c r="L43" s="39">
        <f t="shared" si="1"/>
        <v>0</v>
      </c>
      <c r="M43" s="51">
        <f t="shared" si="2"/>
        <v>1812</v>
      </c>
      <c r="N43" s="41">
        <f t="shared" si="3"/>
        <v>0</v>
      </c>
      <c r="O43" s="46">
        <f t="shared" si="4"/>
        <v>0</v>
      </c>
      <c r="P43" s="47">
        <f t="shared" si="5"/>
        <v>0</v>
      </c>
      <c r="S43" s="44"/>
      <c r="T43" s="51" t="s">
        <v>105</v>
      </c>
      <c r="U43" s="41"/>
      <c r="V43" s="46"/>
      <c r="W43" s="47"/>
    </row>
    <row r="44" spans="1:23" ht="20.399999999999999" x14ac:dyDescent="0.25">
      <c r="A44" s="131"/>
      <c r="B44" s="144"/>
      <c r="C44" s="141"/>
      <c r="D44" s="141"/>
      <c r="E44" s="114"/>
      <c r="F44" s="116"/>
      <c r="G44" s="44"/>
      <c r="H44" s="51">
        <v>1812</v>
      </c>
      <c r="I44" s="41"/>
      <c r="J44" s="46"/>
      <c r="K44" s="47"/>
      <c r="L44" s="39">
        <f t="shared" si="1"/>
        <v>0</v>
      </c>
      <c r="M44" s="51">
        <f t="shared" si="2"/>
        <v>1812</v>
      </c>
      <c r="N44" s="41">
        <f t="shared" si="3"/>
        <v>0</v>
      </c>
      <c r="O44" s="46">
        <f t="shared" si="4"/>
        <v>0</v>
      </c>
      <c r="P44" s="47">
        <f t="shared" si="5"/>
        <v>0</v>
      </c>
      <c r="S44" s="44"/>
      <c r="T44" s="51" t="s">
        <v>105</v>
      </c>
      <c r="U44" s="41"/>
      <c r="V44" s="46"/>
      <c r="W44" s="47"/>
    </row>
    <row r="45" spans="1:23" ht="20.399999999999999" x14ac:dyDescent="0.25">
      <c r="A45" s="131"/>
      <c r="B45" s="144"/>
      <c r="C45" s="141"/>
      <c r="D45" s="141"/>
      <c r="E45" s="114"/>
      <c r="F45" s="116"/>
      <c r="G45" s="44"/>
      <c r="H45" s="51">
        <v>1812</v>
      </c>
      <c r="I45" s="41"/>
      <c r="J45" s="46"/>
      <c r="K45" s="47"/>
      <c r="L45" s="39">
        <f t="shared" si="1"/>
        <v>0</v>
      </c>
      <c r="M45" s="51">
        <f t="shared" si="2"/>
        <v>1812</v>
      </c>
      <c r="N45" s="41">
        <f t="shared" si="3"/>
        <v>0</v>
      </c>
      <c r="O45" s="46">
        <f t="shared" si="4"/>
        <v>0</v>
      </c>
      <c r="P45" s="47">
        <f t="shared" si="5"/>
        <v>0</v>
      </c>
      <c r="S45" s="44"/>
      <c r="T45" s="51" t="s">
        <v>105</v>
      </c>
      <c r="U45" s="41"/>
      <c r="V45" s="46"/>
      <c r="W45" s="47"/>
    </row>
    <row r="46" spans="1:23" ht="20.399999999999999" x14ac:dyDescent="0.25">
      <c r="A46" s="131"/>
      <c r="B46" s="144"/>
      <c r="C46" s="141"/>
      <c r="D46" s="141"/>
      <c r="E46" s="114"/>
      <c r="F46" s="116"/>
      <c r="G46" s="44"/>
      <c r="H46" s="51">
        <v>1812</v>
      </c>
      <c r="I46" s="41"/>
      <c r="J46" s="46"/>
      <c r="K46" s="47"/>
      <c r="L46" s="39">
        <f t="shared" si="1"/>
        <v>0</v>
      </c>
      <c r="M46" s="51">
        <f t="shared" si="2"/>
        <v>1812</v>
      </c>
      <c r="N46" s="41">
        <f t="shared" si="3"/>
        <v>0</v>
      </c>
      <c r="O46" s="46">
        <f t="shared" si="4"/>
        <v>0</v>
      </c>
      <c r="P46" s="47">
        <f t="shared" si="5"/>
        <v>0</v>
      </c>
      <c r="S46" s="44"/>
      <c r="T46" s="51" t="s">
        <v>105</v>
      </c>
      <c r="U46" s="41"/>
      <c r="V46" s="46"/>
      <c r="W46" s="47"/>
    </row>
    <row r="47" spans="1:23" ht="20.399999999999999" x14ac:dyDescent="0.25">
      <c r="A47" s="131"/>
      <c r="B47" s="144"/>
      <c r="C47" s="141"/>
      <c r="D47" s="141"/>
      <c r="E47" s="114"/>
      <c r="F47" s="116"/>
      <c r="G47" s="44"/>
      <c r="H47" s="51">
        <v>1812</v>
      </c>
      <c r="I47" s="41"/>
      <c r="J47" s="46"/>
      <c r="K47" s="47"/>
      <c r="L47" s="39">
        <f t="shared" si="1"/>
        <v>0</v>
      </c>
      <c r="M47" s="51">
        <f t="shared" si="2"/>
        <v>1812</v>
      </c>
      <c r="N47" s="41">
        <f t="shared" si="3"/>
        <v>0</v>
      </c>
      <c r="O47" s="46">
        <f t="shared" si="4"/>
        <v>0</v>
      </c>
      <c r="P47" s="47">
        <f t="shared" si="5"/>
        <v>0</v>
      </c>
      <c r="S47" s="44"/>
      <c r="T47" s="51" t="s">
        <v>105</v>
      </c>
      <c r="U47" s="41"/>
      <c r="V47" s="46"/>
      <c r="W47" s="47"/>
    </row>
    <row r="48" spans="1:23" ht="20.399999999999999" x14ac:dyDescent="0.25">
      <c r="A48" s="131"/>
      <c r="B48" s="144"/>
      <c r="C48" s="141"/>
      <c r="D48" s="141"/>
      <c r="E48" s="114"/>
      <c r="F48" s="116"/>
      <c r="G48" s="44"/>
      <c r="H48" s="51">
        <v>1812</v>
      </c>
      <c r="I48" s="41"/>
      <c r="J48" s="46"/>
      <c r="K48" s="47"/>
      <c r="L48" s="39">
        <f t="shared" si="1"/>
        <v>0</v>
      </c>
      <c r="M48" s="51">
        <f t="shared" si="2"/>
        <v>1812</v>
      </c>
      <c r="N48" s="41">
        <f t="shared" si="3"/>
        <v>0</v>
      </c>
      <c r="O48" s="46">
        <f t="shared" si="4"/>
        <v>0</v>
      </c>
      <c r="P48" s="47">
        <f t="shared" si="5"/>
        <v>0</v>
      </c>
      <c r="S48" s="44"/>
      <c r="T48" s="51" t="s">
        <v>106</v>
      </c>
      <c r="U48" s="41"/>
      <c r="V48" s="46"/>
      <c r="W48" s="47"/>
    </row>
    <row r="49" spans="1:23" ht="20.399999999999999" x14ac:dyDescent="0.25">
      <c r="A49" s="131"/>
      <c r="B49" s="144"/>
      <c r="C49" s="141"/>
      <c r="D49" s="141"/>
      <c r="E49" s="114"/>
      <c r="F49" s="116"/>
      <c r="G49" s="44"/>
      <c r="H49" s="51">
        <v>1812</v>
      </c>
      <c r="I49" s="41"/>
      <c r="J49" s="46"/>
      <c r="K49" s="47"/>
      <c r="L49" s="39">
        <f t="shared" si="1"/>
        <v>0</v>
      </c>
      <c r="M49" s="51">
        <f t="shared" si="2"/>
        <v>1812</v>
      </c>
      <c r="N49" s="41">
        <f t="shared" si="3"/>
        <v>0</v>
      </c>
      <c r="O49" s="46">
        <f t="shared" si="4"/>
        <v>0</v>
      </c>
      <c r="P49" s="47">
        <f t="shared" si="5"/>
        <v>0</v>
      </c>
      <c r="S49" s="44"/>
      <c r="T49" s="51" t="s">
        <v>106</v>
      </c>
      <c r="U49" s="41"/>
      <c r="V49" s="46"/>
      <c r="W49" s="47"/>
    </row>
    <row r="50" spans="1:23" ht="20.399999999999999" x14ac:dyDescent="0.25">
      <c r="A50" s="131"/>
      <c r="B50" s="144"/>
      <c r="C50" s="141"/>
      <c r="D50" s="141"/>
      <c r="E50" s="114"/>
      <c r="F50" s="116"/>
      <c r="G50" s="44"/>
      <c r="H50" s="51">
        <v>1812</v>
      </c>
      <c r="I50" s="41"/>
      <c r="J50" s="46"/>
      <c r="K50" s="47"/>
      <c r="L50" s="39">
        <f t="shared" si="1"/>
        <v>0</v>
      </c>
      <c r="M50" s="51">
        <f t="shared" si="2"/>
        <v>1812</v>
      </c>
      <c r="N50" s="41">
        <f t="shared" si="3"/>
        <v>0</v>
      </c>
      <c r="O50" s="46">
        <f t="shared" si="4"/>
        <v>0</v>
      </c>
      <c r="P50" s="47">
        <f t="shared" si="5"/>
        <v>0</v>
      </c>
      <c r="S50" s="44"/>
      <c r="T50" s="51" t="s">
        <v>106</v>
      </c>
      <c r="U50" s="41"/>
      <c r="V50" s="46"/>
      <c r="W50" s="47"/>
    </row>
    <row r="51" spans="1:23" ht="20.399999999999999" x14ac:dyDescent="0.25">
      <c r="A51" s="131"/>
      <c r="B51" s="144"/>
      <c r="C51" s="141"/>
      <c r="D51" s="141"/>
      <c r="E51" s="114"/>
      <c r="F51" s="116"/>
      <c r="G51" s="44"/>
      <c r="H51" s="51">
        <v>1812</v>
      </c>
      <c r="I51" s="41"/>
      <c r="J51" s="46"/>
      <c r="K51" s="47"/>
      <c r="L51" s="39">
        <f t="shared" si="1"/>
        <v>0</v>
      </c>
      <c r="M51" s="51">
        <f t="shared" si="2"/>
        <v>1812</v>
      </c>
      <c r="N51" s="41">
        <f t="shared" si="3"/>
        <v>0</v>
      </c>
      <c r="O51" s="46">
        <f t="shared" si="4"/>
        <v>0</v>
      </c>
      <c r="P51" s="47">
        <f t="shared" si="5"/>
        <v>0</v>
      </c>
      <c r="S51" s="44"/>
      <c r="T51" s="51" t="s">
        <v>106</v>
      </c>
      <c r="U51" s="41"/>
      <c r="V51" s="46"/>
      <c r="W51" s="47"/>
    </row>
    <row r="52" spans="1:23" ht="20.399999999999999" x14ac:dyDescent="0.25">
      <c r="A52" s="131"/>
      <c r="B52" s="144"/>
      <c r="C52" s="141"/>
      <c r="D52" s="141"/>
      <c r="E52" s="114"/>
      <c r="F52" s="116"/>
      <c r="G52" s="44"/>
      <c r="H52" s="51">
        <v>1812</v>
      </c>
      <c r="I52" s="41"/>
      <c r="J52" s="46"/>
      <c r="K52" s="47"/>
      <c r="L52" s="39">
        <f t="shared" si="1"/>
        <v>0</v>
      </c>
      <c r="M52" s="51">
        <f t="shared" si="2"/>
        <v>1812</v>
      </c>
      <c r="N52" s="41">
        <f t="shared" si="3"/>
        <v>0</v>
      </c>
      <c r="O52" s="46">
        <f t="shared" si="4"/>
        <v>0</v>
      </c>
      <c r="P52" s="47">
        <f t="shared" si="5"/>
        <v>0</v>
      </c>
      <c r="S52" s="44"/>
      <c r="T52" s="51" t="s">
        <v>106</v>
      </c>
      <c r="U52" s="41"/>
      <c r="V52" s="46"/>
      <c r="W52" s="47"/>
    </row>
    <row r="53" spans="1:23" ht="20.399999999999999" x14ac:dyDescent="0.25">
      <c r="A53" s="131"/>
      <c r="B53" s="144"/>
      <c r="C53" s="141"/>
      <c r="D53" s="141"/>
      <c r="E53" s="114"/>
      <c r="F53" s="116"/>
      <c r="G53" s="44"/>
      <c r="H53" s="51">
        <v>1812</v>
      </c>
      <c r="I53" s="41"/>
      <c r="J53" s="46"/>
      <c r="K53" s="47"/>
      <c r="L53" s="39">
        <f t="shared" si="1"/>
        <v>0</v>
      </c>
      <c r="M53" s="51">
        <f t="shared" si="2"/>
        <v>1812</v>
      </c>
      <c r="N53" s="41">
        <f t="shared" si="3"/>
        <v>0</v>
      </c>
      <c r="O53" s="46">
        <f t="shared" si="4"/>
        <v>0</v>
      </c>
      <c r="P53" s="47">
        <f t="shared" si="5"/>
        <v>0</v>
      </c>
      <c r="S53" s="44"/>
      <c r="T53" s="51" t="s">
        <v>106</v>
      </c>
      <c r="U53" s="41"/>
      <c r="V53" s="46"/>
      <c r="W53" s="47"/>
    </row>
    <row r="54" spans="1:23" ht="20.399999999999999" x14ac:dyDescent="0.25">
      <c r="A54" s="131"/>
      <c r="B54" s="144"/>
      <c r="C54" s="141"/>
      <c r="D54" s="141"/>
      <c r="E54" s="114"/>
      <c r="F54" s="116"/>
      <c r="G54" s="44"/>
      <c r="H54" s="51">
        <v>1812</v>
      </c>
      <c r="I54" s="41"/>
      <c r="J54" s="46"/>
      <c r="K54" s="47"/>
      <c r="L54" s="39">
        <f t="shared" si="1"/>
        <v>0</v>
      </c>
      <c r="M54" s="51">
        <f t="shared" si="2"/>
        <v>1812</v>
      </c>
      <c r="N54" s="41">
        <f t="shared" si="3"/>
        <v>0</v>
      </c>
      <c r="O54" s="46">
        <f t="shared" si="4"/>
        <v>0</v>
      </c>
      <c r="P54" s="47">
        <f t="shared" si="5"/>
        <v>0</v>
      </c>
      <c r="S54" s="44"/>
      <c r="T54" s="51" t="s">
        <v>106</v>
      </c>
      <c r="U54" s="41"/>
      <c r="V54" s="46"/>
      <c r="W54" s="47"/>
    </row>
    <row r="55" spans="1:23" ht="20.399999999999999" x14ac:dyDescent="0.25">
      <c r="A55" s="131"/>
      <c r="B55" s="144"/>
      <c r="C55" s="141"/>
      <c r="D55" s="141"/>
      <c r="E55" s="114"/>
      <c r="F55" s="116"/>
      <c r="G55" s="44"/>
      <c r="H55" s="51">
        <v>1812</v>
      </c>
      <c r="I55" s="41"/>
      <c r="J55" s="46"/>
      <c r="K55" s="47"/>
      <c r="L55" s="39">
        <f t="shared" si="1"/>
        <v>0</v>
      </c>
      <c r="M55" s="51">
        <f t="shared" si="2"/>
        <v>1812</v>
      </c>
      <c r="N55" s="41">
        <f t="shared" si="3"/>
        <v>0</v>
      </c>
      <c r="O55" s="46">
        <f t="shared" si="4"/>
        <v>0</v>
      </c>
      <c r="P55" s="47">
        <f t="shared" si="5"/>
        <v>0</v>
      </c>
      <c r="S55" s="44"/>
      <c r="T55" s="51" t="s">
        <v>106</v>
      </c>
      <c r="U55" s="41"/>
      <c r="V55" s="46"/>
      <c r="W55" s="47"/>
    </row>
    <row r="56" spans="1:23" ht="20.399999999999999" x14ac:dyDescent="0.25">
      <c r="A56" s="131"/>
      <c r="B56" s="144"/>
      <c r="C56" s="141"/>
      <c r="D56" s="141"/>
      <c r="E56" s="114"/>
      <c r="F56" s="116"/>
      <c r="G56" s="44"/>
      <c r="H56" s="51">
        <v>1812</v>
      </c>
      <c r="I56" s="41"/>
      <c r="J56" s="46"/>
      <c r="K56" s="47"/>
      <c r="L56" s="39">
        <f t="shared" si="1"/>
        <v>0</v>
      </c>
      <c r="M56" s="51">
        <f t="shared" si="2"/>
        <v>1812</v>
      </c>
      <c r="N56" s="41">
        <f t="shared" si="3"/>
        <v>0</v>
      </c>
      <c r="O56" s="46">
        <f t="shared" si="4"/>
        <v>0</v>
      </c>
      <c r="P56" s="47">
        <f t="shared" si="5"/>
        <v>0</v>
      </c>
      <c r="S56" s="44"/>
      <c r="T56" s="51" t="s">
        <v>106</v>
      </c>
      <c r="U56" s="41"/>
      <c r="V56" s="46"/>
      <c r="W56" s="47"/>
    </row>
    <row r="57" spans="1:23" ht="20.399999999999999" x14ac:dyDescent="0.25">
      <c r="A57" s="131"/>
      <c r="B57" s="144"/>
      <c r="C57" s="141"/>
      <c r="D57" s="141"/>
      <c r="E57" s="114"/>
      <c r="F57" s="116"/>
      <c r="G57" s="44"/>
      <c r="H57" s="51">
        <v>1812</v>
      </c>
      <c r="I57" s="41"/>
      <c r="J57" s="46"/>
      <c r="K57" s="47"/>
      <c r="L57" s="39">
        <f t="shared" si="1"/>
        <v>0</v>
      </c>
      <c r="M57" s="51">
        <f t="shared" si="2"/>
        <v>1812</v>
      </c>
      <c r="N57" s="41">
        <f t="shared" si="3"/>
        <v>0</v>
      </c>
      <c r="O57" s="46">
        <f t="shared" si="4"/>
        <v>0</v>
      </c>
      <c r="P57" s="47">
        <f t="shared" si="5"/>
        <v>0</v>
      </c>
      <c r="S57" s="44"/>
      <c r="T57" s="51" t="s">
        <v>106</v>
      </c>
      <c r="U57" s="41"/>
      <c r="V57" s="46"/>
      <c r="W57" s="47"/>
    </row>
    <row r="58" spans="1:23" ht="20.399999999999999" x14ac:dyDescent="0.25">
      <c r="A58" s="131"/>
      <c r="B58" s="144"/>
      <c r="C58" s="141"/>
      <c r="D58" s="141"/>
      <c r="E58" s="114"/>
      <c r="F58" s="116"/>
      <c r="G58" s="44"/>
      <c r="H58" s="51">
        <v>1812</v>
      </c>
      <c r="I58" s="41"/>
      <c r="J58" s="46"/>
      <c r="K58" s="47"/>
      <c r="L58" s="39">
        <f t="shared" si="1"/>
        <v>0</v>
      </c>
      <c r="M58" s="51">
        <f t="shared" si="2"/>
        <v>1812</v>
      </c>
      <c r="N58" s="41">
        <f t="shared" si="3"/>
        <v>0</v>
      </c>
      <c r="O58" s="46">
        <f t="shared" si="4"/>
        <v>0</v>
      </c>
      <c r="P58" s="47">
        <f t="shared" si="5"/>
        <v>0</v>
      </c>
      <c r="S58" s="44"/>
      <c r="T58" s="51" t="s">
        <v>106</v>
      </c>
      <c r="U58" s="41"/>
      <c r="V58" s="46"/>
      <c r="W58" s="47"/>
    </row>
    <row r="59" spans="1:23" ht="20.399999999999999" x14ac:dyDescent="0.25">
      <c r="A59" s="131"/>
      <c r="B59" s="144"/>
      <c r="C59" s="141"/>
      <c r="D59" s="141"/>
      <c r="E59" s="114"/>
      <c r="F59" s="116"/>
      <c r="G59" s="44"/>
      <c r="H59" s="51">
        <v>1812</v>
      </c>
      <c r="I59" s="41"/>
      <c r="J59" s="46"/>
      <c r="K59" s="47"/>
      <c r="L59" s="39">
        <f t="shared" si="1"/>
        <v>0</v>
      </c>
      <c r="M59" s="51">
        <f t="shared" si="2"/>
        <v>1812</v>
      </c>
      <c r="N59" s="41">
        <f t="shared" si="3"/>
        <v>0</v>
      </c>
      <c r="O59" s="46">
        <f t="shared" si="4"/>
        <v>0</v>
      </c>
      <c r="P59" s="47">
        <f t="shared" si="5"/>
        <v>0</v>
      </c>
      <c r="S59" s="44"/>
      <c r="T59" s="51" t="s">
        <v>106</v>
      </c>
      <c r="U59" s="41"/>
      <c r="V59" s="46"/>
      <c r="W59" s="47"/>
    </row>
    <row r="60" spans="1:23" ht="20.399999999999999" x14ac:dyDescent="0.25">
      <c r="A60" s="131"/>
      <c r="B60" s="144"/>
      <c r="C60" s="141"/>
      <c r="D60" s="141"/>
      <c r="E60" s="114"/>
      <c r="F60" s="116"/>
      <c r="G60" s="44"/>
      <c r="H60" s="51">
        <v>1812</v>
      </c>
      <c r="I60" s="41"/>
      <c r="J60" s="46"/>
      <c r="K60" s="47"/>
      <c r="L60" s="39">
        <f t="shared" si="1"/>
        <v>0</v>
      </c>
      <c r="M60" s="51">
        <f t="shared" si="2"/>
        <v>1812</v>
      </c>
      <c r="N60" s="41">
        <f t="shared" si="3"/>
        <v>0</v>
      </c>
      <c r="O60" s="46">
        <f t="shared" si="4"/>
        <v>0</v>
      </c>
      <c r="P60" s="47">
        <f t="shared" si="5"/>
        <v>0</v>
      </c>
      <c r="S60" s="44"/>
      <c r="T60" s="51" t="s">
        <v>106</v>
      </c>
      <c r="U60" s="41"/>
      <c r="V60" s="46"/>
      <c r="W60" s="47"/>
    </row>
    <row r="61" spans="1:23" ht="20.399999999999999" x14ac:dyDescent="0.25">
      <c r="A61" s="131"/>
      <c r="B61" s="144"/>
      <c r="C61" s="141"/>
      <c r="D61" s="141"/>
      <c r="E61" s="114"/>
      <c r="F61" s="116"/>
      <c r="G61" s="44"/>
      <c r="H61" s="51">
        <v>1812</v>
      </c>
      <c r="I61" s="41"/>
      <c r="J61" s="46"/>
      <c r="K61" s="47"/>
      <c r="L61" s="39">
        <f t="shared" si="1"/>
        <v>0</v>
      </c>
      <c r="M61" s="51">
        <f t="shared" si="2"/>
        <v>1812</v>
      </c>
      <c r="N61" s="41">
        <f t="shared" si="3"/>
        <v>0</v>
      </c>
      <c r="O61" s="46">
        <f t="shared" si="4"/>
        <v>0</v>
      </c>
      <c r="P61" s="47">
        <f t="shared" si="5"/>
        <v>0</v>
      </c>
      <c r="S61" s="44"/>
      <c r="T61" s="51" t="s">
        <v>106</v>
      </c>
      <c r="U61" s="41"/>
      <c r="V61" s="46"/>
      <c r="W61" s="47"/>
    </row>
    <row r="62" spans="1:23" ht="20.399999999999999" x14ac:dyDescent="0.25">
      <c r="A62" s="131"/>
      <c r="B62" s="144"/>
      <c r="C62" s="141"/>
      <c r="D62" s="141"/>
      <c r="E62" s="114"/>
      <c r="F62" s="116"/>
      <c r="G62" s="44"/>
      <c r="H62" s="51">
        <v>1812</v>
      </c>
      <c r="I62" s="41"/>
      <c r="J62" s="46"/>
      <c r="K62" s="47"/>
      <c r="L62" s="39">
        <f t="shared" si="1"/>
        <v>0</v>
      </c>
      <c r="M62" s="51">
        <f t="shared" si="2"/>
        <v>1812</v>
      </c>
      <c r="N62" s="41">
        <f t="shared" si="3"/>
        <v>0</v>
      </c>
      <c r="O62" s="46">
        <f t="shared" si="4"/>
        <v>0</v>
      </c>
      <c r="P62" s="47">
        <f t="shared" si="5"/>
        <v>0</v>
      </c>
      <c r="S62" s="44"/>
      <c r="T62" s="51" t="s">
        <v>106</v>
      </c>
      <c r="U62" s="41"/>
      <c r="V62" s="46"/>
      <c r="W62" s="47"/>
    </row>
    <row r="63" spans="1:23" ht="20.399999999999999" x14ac:dyDescent="0.25">
      <c r="A63" s="131"/>
      <c r="B63" s="144"/>
      <c r="C63" s="141"/>
      <c r="D63" s="141"/>
      <c r="E63" s="114"/>
      <c r="F63" s="116"/>
      <c r="G63" s="44"/>
      <c r="H63" s="51">
        <v>1812</v>
      </c>
      <c r="I63" s="41"/>
      <c r="J63" s="46"/>
      <c r="K63" s="47"/>
      <c r="L63" s="39">
        <f t="shared" si="1"/>
        <v>0</v>
      </c>
      <c r="M63" s="51">
        <f t="shared" si="2"/>
        <v>1812</v>
      </c>
      <c r="N63" s="41">
        <f t="shared" si="3"/>
        <v>0</v>
      </c>
      <c r="O63" s="46">
        <f t="shared" si="4"/>
        <v>0</v>
      </c>
      <c r="P63" s="47">
        <f t="shared" si="5"/>
        <v>0</v>
      </c>
      <c r="S63" s="44"/>
      <c r="T63" s="51" t="s">
        <v>107</v>
      </c>
      <c r="U63" s="41"/>
      <c r="V63" s="46"/>
      <c r="W63" s="47"/>
    </row>
    <row r="64" spans="1:23" ht="20.399999999999999" x14ac:dyDescent="0.25">
      <c r="A64" s="131"/>
      <c r="B64" s="144"/>
      <c r="C64" s="141"/>
      <c r="D64" s="141"/>
      <c r="E64" s="114"/>
      <c r="F64" s="116"/>
      <c r="G64" s="44"/>
      <c r="H64" s="51">
        <v>1812</v>
      </c>
      <c r="I64" s="41"/>
      <c r="J64" s="46"/>
      <c r="K64" s="47"/>
      <c r="L64" s="39">
        <f t="shared" si="1"/>
        <v>0</v>
      </c>
      <c r="M64" s="51">
        <f t="shared" si="2"/>
        <v>1812</v>
      </c>
      <c r="N64" s="41">
        <f t="shared" si="3"/>
        <v>0</v>
      </c>
      <c r="O64" s="46">
        <f t="shared" si="4"/>
        <v>0</v>
      </c>
      <c r="P64" s="47">
        <f t="shared" si="5"/>
        <v>0</v>
      </c>
      <c r="S64" s="44"/>
      <c r="T64" s="51" t="s">
        <v>107</v>
      </c>
      <c r="U64" s="41"/>
      <c r="V64" s="46"/>
      <c r="W64" s="47"/>
    </row>
    <row r="65" spans="1:23" ht="20.399999999999999" x14ac:dyDescent="0.25">
      <c r="A65" s="131"/>
      <c r="B65" s="144"/>
      <c r="C65" s="141"/>
      <c r="D65" s="141"/>
      <c r="E65" s="114"/>
      <c r="F65" s="116"/>
      <c r="G65" s="44"/>
      <c r="H65" s="51">
        <v>1812</v>
      </c>
      <c r="I65" s="41"/>
      <c r="J65" s="46"/>
      <c r="K65" s="47"/>
      <c r="L65" s="39">
        <f t="shared" si="1"/>
        <v>0</v>
      </c>
      <c r="M65" s="51">
        <f t="shared" si="2"/>
        <v>1812</v>
      </c>
      <c r="N65" s="41">
        <f t="shared" si="3"/>
        <v>0</v>
      </c>
      <c r="O65" s="46">
        <f t="shared" si="4"/>
        <v>0</v>
      </c>
      <c r="P65" s="47">
        <f t="shared" si="5"/>
        <v>0</v>
      </c>
      <c r="S65" s="44"/>
      <c r="T65" s="51" t="s">
        <v>107</v>
      </c>
      <c r="U65" s="41"/>
      <c r="V65" s="46"/>
      <c r="W65" s="47"/>
    </row>
    <row r="66" spans="1:23" ht="20.399999999999999" x14ac:dyDescent="0.25">
      <c r="A66" s="131"/>
      <c r="B66" s="144"/>
      <c r="C66" s="141"/>
      <c r="D66" s="141"/>
      <c r="E66" s="114"/>
      <c r="F66" s="116"/>
      <c r="G66" s="44"/>
      <c r="H66" s="51">
        <v>1812</v>
      </c>
      <c r="I66" s="41"/>
      <c r="J66" s="46"/>
      <c r="K66" s="47"/>
      <c r="L66" s="39">
        <f t="shared" si="1"/>
        <v>0</v>
      </c>
      <c r="M66" s="51">
        <f t="shared" si="2"/>
        <v>1812</v>
      </c>
      <c r="N66" s="41">
        <f t="shared" si="3"/>
        <v>0</v>
      </c>
      <c r="O66" s="46">
        <f t="shared" si="4"/>
        <v>0</v>
      </c>
      <c r="P66" s="47">
        <f t="shared" si="5"/>
        <v>0</v>
      </c>
      <c r="S66" s="44"/>
      <c r="T66" s="51" t="s">
        <v>107</v>
      </c>
      <c r="U66" s="41"/>
      <c r="V66" s="46"/>
      <c r="W66" s="47"/>
    </row>
    <row r="67" spans="1:23" ht="20.399999999999999" x14ac:dyDescent="0.25">
      <c r="A67" s="131"/>
      <c r="B67" s="144"/>
      <c r="C67" s="141"/>
      <c r="D67" s="141"/>
      <c r="E67" s="114"/>
      <c r="F67" s="116"/>
      <c r="G67" s="44"/>
      <c r="H67" s="51">
        <v>1812</v>
      </c>
      <c r="I67" s="41"/>
      <c r="J67" s="46"/>
      <c r="K67" s="47"/>
      <c r="L67" s="39">
        <f t="shared" ref="L67:L130" si="6">IF(OR(G67="NA", G67=0),0,(1*G67))</f>
        <v>0</v>
      </c>
      <c r="M67" s="51">
        <f t="shared" ref="M67:M130" si="7">IF(OR(H67="NA", H67=0),0,(1*H67))</f>
        <v>1812</v>
      </c>
      <c r="N67" s="41">
        <f t="shared" ref="N67:N130" si="8">IF(OR(I67="NA", I67=0),0,(1*I67))</f>
        <v>0</v>
      </c>
      <c r="O67" s="46">
        <f t="shared" ref="O67:O130" si="9">IF(OR(J67="NA", J67=0),0,(1*J67))</f>
        <v>0</v>
      </c>
      <c r="P67" s="47">
        <f t="shared" ref="P67:P130" si="10">IF(OR(K67="NA", K67=0),0,(1*K67))</f>
        <v>0</v>
      </c>
      <c r="S67" s="44"/>
      <c r="T67" s="51" t="s">
        <v>107</v>
      </c>
      <c r="U67" s="41"/>
      <c r="V67" s="46"/>
      <c r="W67" s="47"/>
    </row>
    <row r="68" spans="1:23" ht="20.399999999999999" x14ac:dyDescent="0.25">
      <c r="A68" s="131"/>
      <c r="B68" s="144"/>
      <c r="C68" s="141"/>
      <c r="D68" s="141"/>
      <c r="E68" s="114"/>
      <c r="F68" s="116"/>
      <c r="G68" s="44"/>
      <c r="H68" s="51">
        <v>1812</v>
      </c>
      <c r="I68" s="41"/>
      <c r="J68" s="46"/>
      <c r="K68" s="47"/>
      <c r="L68" s="39">
        <f t="shared" si="6"/>
        <v>0</v>
      </c>
      <c r="M68" s="51">
        <f t="shared" si="7"/>
        <v>1812</v>
      </c>
      <c r="N68" s="41">
        <f t="shared" si="8"/>
        <v>0</v>
      </c>
      <c r="O68" s="46">
        <f t="shared" si="9"/>
        <v>0</v>
      </c>
      <c r="P68" s="47">
        <f t="shared" si="10"/>
        <v>0</v>
      </c>
      <c r="S68" s="44"/>
      <c r="T68" s="51" t="s">
        <v>107</v>
      </c>
      <c r="U68" s="41"/>
      <c r="V68" s="46"/>
      <c r="W68" s="47"/>
    </row>
    <row r="69" spans="1:23" ht="20.399999999999999" x14ac:dyDescent="0.25">
      <c r="A69" s="131"/>
      <c r="B69" s="144"/>
      <c r="C69" s="141"/>
      <c r="D69" s="141"/>
      <c r="E69" s="140" t="s">
        <v>17</v>
      </c>
      <c r="F69" s="140" t="s">
        <v>24</v>
      </c>
      <c r="G69" s="39">
        <v>8517.2099999999991</v>
      </c>
      <c r="H69" s="51">
        <v>1812</v>
      </c>
      <c r="I69" s="41"/>
      <c r="J69" s="42">
        <v>9583.4</v>
      </c>
      <c r="K69" s="43">
        <v>11387.12</v>
      </c>
      <c r="L69" s="39">
        <f t="shared" si="6"/>
        <v>8517.2099999999991</v>
      </c>
      <c r="M69" s="51">
        <f t="shared" si="7"/>
        <v>1812</v>
      </c>
      <c r="N69" s="41">
        <f t="shared" si="8"/>
        <v>0</v>
      </c>
      <c r="O69" s="42">
        <f t="shared" si="9"/>
        <v>9583.4</v>
      </c>
      <c r="P69" s="43">
        <f t="shared" si="10"/>
        <v>11387.12</v>
      </c>
      <c r="S69" s="39">
        <v>8517.2099999999991</v>
      </c>
      <c r="T69" s="51" t="s">
        <v>105</v>
      </c>
      <c r="U69" s="41"/>
      <c r="V69" s="42">
        <v>9583.4</v>
      </c>
      <c r="W69" s="43">
        <v>11387.12</v>
      </c>
    </row>
    <row r="70" spans="1:23" ht="20.399999999999999" x14ac:dyDescent="0.25">
      <c r="A70" s="131"/>
      <c r="B70" s="144"/>
      <c r="C70" s="141"/>
      <c r="D70" s="141"/>
      <c r="E70" s="141"/>
      <c r="F70" s="141"/>
      <c r="G70" s="44"/>
      <c r="H70" s="51">
        <v>1812</v>
      </c>
      <c r="I70" s="41"/>
      <c r="J70" s="46"/>
      <c r="K70" s="47"/>
      <c r="L70" s="39">
        <f t="shared" si="6"/>
        <v>0</v>
      </c>
      <c r="M70" s="51">
        <f t="shared" si="7"/>
        <v>1812</v>
      </c>
      <c r="N70" s="41">
        <f t="shared" si="8"/>
        <v>0</v>
      </c>
      <c r="O70" s="46">
        <f t="shared" si="9"/>
        <v>0</v>
      </c>
      <c r="P70" s="47">
        <f t="shared" si="10"/>
        <v>0</v>
      </c>
      <c r="S70" s="44"/>
      <c r="T70" s="51" t="s">
        <v>105</v>
      </c>
      <c r="U70" s="41"/>
      <c r="V70" s="46"/>
      <c r="W70" s="47"/>
    </row>
    <row r="71" spans="1:23" ht="20.399999999999999" x14ac:dyDescent="0.25">
      <c r="A71" s="131"/>
      <c r="B71" s="144"/>
      <c r="C71" s="141"/>
      <c r="D71" s="141"/>
      <c r="E71" s="141"/>
      <c r="F71" s="141"/>
      <c r="G71" s="44"/>
      <c r="H71" s="51">
        <v>1812</v>
      </c>
      <c r="I71" s="41"/>
      <c r="J71" s="46"/>
      <c r="K71" s="47"/>
      <c r="L71" s="39">
        <f t="shared" si="6"/>
        <v>0</v>
      </c>
      <c r="M71" s="51">
        <f t="shared" si="7"/>
        <v>1812</v>
      </c>
      <c r="N71" s="41">
        <f t="shared" si="8"/>
        <v>0</v>
      </c>
      <c r="O71" s="46">
        <f t="shared" si="9"/>
        <v>0</v>
      </c>
      <c r="P71" s="47">
        <f t="shared" si="10"/>
        <v>0</v>
      </c>
      <c r="S71" s="44"/>
      <c r="T71" s="51" t="s">
        <v>105</v>
      </c>
      <c r="U71" s="41"/>
      <c r="V71" s="46"/>
      <c r="W71" s="47"/>
    </row>
    <row r="72" spans="1:23" ht="20.399999999999999" x14ac:dyDescent="0.25">
      <c r="A72" s="131"/>
      <c r="B72" s="144"/>
      <c r="C72" s="141"/>
      <c r="D72" s="141"/>
      <c r="E72" s="141"/>
      <c r="F72" s="141"/>
      <c r="G72" s="44"/>
      <c r="H72" s="51">
        <v>1812</v>
      </c>
      <c r="I72" s="41"/>
      <c r="J72" s="46"/>
      <c r="K72" s="47"/>
      <c r="L72" s="39">
        <f t="shared" si="6"/>
        <v>0</v>
      </c>
      <c r="M72" s="51">
        <f t="shared" si="7"/>
        <v>1812</v>
      </c>
      <c r="N72" s="41">
        <f t="shared" si="8"/>
        <v>0</v>
      </c>
      <c r="O72" s="46">
        <f t="shared" si="9"/>
        <v>0</v>
      </c>
      <c r="P72" s="47">
        <f t="shared" si="10"/>
        <v>0</v>
      </c>
      <c r="S72" s="44"/>
      <c r="T72" s="51" t="s">
        <v>105</v>
      </c>
      <c r="U72" s="41"/>
      <c r="V72" s="46"/>
      <c r="W72" s="47"/>
    </row>
    <row r="73" spans="1:23" ht="20.399999999999999" x14ac:dyDescent="0.25">
      <c r="A73" s="131"/>
      <c r="B73" s="144"/>
      <c r="C73" s="141"/>
      <c r="D73" s="141"/>
      <c r="E73" s="141"/>
      <c r="F73" s="141"/>
      <c r="G73" s="44"/>
      <c r="H73" s="51">
        <v>1812</v>
      </c>
      <c r="I73" s="41"/>
      <c r="J73" s="46"/>
      <c r="K73" s="47"/>
      <c r="L73" s="39">
        <f t="shared" si="6"/>
        <v>0</v>
      </c>
      <c r="M73" s="51">
        <f t="shared" si="7"/>
        <v>1812</v>
      </c>
      <c r="N73" s="41">
        <f t="shared" si="8"/>
        <v>0</v>
      </c>
      <c r="O73" s="46">
        <f t="shared" si="9"/>
        <v>0</v>
      </c>
      <c r="P73" s="47">
        <f t="shared" si="10"/>
        <v>0</v>
      </c>
      <c r="S73" s="44"/>
      <c r="T73" s="51" t="s">
        <v>105</v>
      </c>
      <c r="U73" s="41"/>
      <c r="V73" s="46"/>
      <c r="W73" s="47"/>
    </row>
    <row r="74" spans="1:23" ht="20.399999999999999" x14ac:dyDescent="0.25">
      <c r="A74" s="131"/>
      <c r="B74" s="144"/>
      <c r="C74" s="141"/>
      <c r="D74" s="141"/>
      <c r="E74" s="141"/>
      <c r="F74" s="141"/>
      <c r="G74" s="44"/>
      <c r="H74" s="51">
        <v>1812</v>
      </c>
      <c r="I74" s="41"/>
      <c r="J74" s="46"/>
      <c r="K74" s="47"/>
      <c r="L74" s="39">
        <f t="shared" si="6"/>
        <v>0</v>
      </c>
      <c r="M74" s="51">
        <f t="shared" si="7"/>
        <v>1812</v>
      </c>
      <c r="N74" s="41">
        <f t="shared" si="8"/>
        <v>0</v>
      </c>
      <c r="O74" s="46">
        <f t="shared" si="9"/>
        <v>0</v>
      </c>
      <c r="P74" s="47">
        <f t="shared" si="10"/>
        <v>0</v>
      </c>
      <c r="S74" s="44"/>
      <c r="T74" s="51" t="s">
        <v>105</v>
      </c>
      <c r="U74" s="41"/>
      <c r="V74" s="46"/>
      <c r="W74" s="47"/>
    </row>
    <row r="75" spans="1:23" ht="20.399999999999999" x14ac:dyDescent="0.25">
      <c r="A75" s="131"/>
      <c r="B75" s="144"/>
      <c r="C75" s="141"/>
      <c r="D75" s="141"/>
      <c r="E75" s="141"/>
      <c r="F75" s="141"/>
      <c r="G75" s="44"/>
      <c r="H75" s="51">
        <v>1812</v>
      </c>
      <c r="I75" s="41"/>
      <c r="J75" s="46"/>
      <c r="K75" s="47"/>
      <c r="L75" s="39">
        <f t="shared" si="6"/>
        <v>0</v>
      </c>
      <c r="M75" s="51">
        <f t="shared" si="7"/>
        <v>1812</v>
      </c>
      <c r="N75" s="41">
        <f t="shared" si="8"/>
        <v>0</v>
      </c>
      <c r="O75" s="46">
        <f t="shared" si="9"/>
        <v>0</v>
      </c>
      <c r="P75" s="47">
        <f t="shared" si="10"/>
        <v>0</v>
      </c>
      <c r="S75" s="44"/>
      <c r="T75" s="51" t="s">
        <v>106</v>
      </c>
      <c r="U75" s="41"/>
      <c r="V75" s="46"/>
      <c r="W75" s="47"/>
    </row>
    <row r="76" spans="1:23" ht="20.399999999999999" x14ac:dyDescent="0.25">
      <c r="A76" s="131"/>
      <c r="B76" s="144"/>
      <c r="C76" s="141"/>
      <c r="D76" s="141"/>
      <c r="E76" s="141"/>
      <c r="F76" s="141"/>
      <c r="G76" s="44"/>
      <c r="H76" s="51">
        <v>1812</v>
      </c>
      <c r="I76" s="41"/>
      <c r="J76" s="46"/>
      <c r="K76" s="47"/>
      <c r="L76" s="39">
        <f t="shared" si="6"/>
        <v>0</v>
      </c>
      <c r="M76" s="51">
        <f t="shared" si="7"/>
        <v>1812</v>
      </c>
      <c r="N76" s="41">
        <f t="shared" si="8"/>
        <v>0</v>
      </c>
      <c r="O76" s="46">
        <f t="shared" si="9"/>
        <v>0</v>
      </c>
      <c r="P76" s="47">
        <f t="shared" si="10"/>
        <v>0</v>
      </c>
      <c r="S76" s="44"/>
      <c r="T76" s="51" t="s">
        <v>106</v>
      </c>
      <c r="U76" s="41"/>
      <c r="V76" s="46"/>
      <c r="W76" s="47"/>
    </row>
    <row r="77" spans="1:23" ht="20.399999999999999" x14ac:dyDescent="0.25">
      <c r="A77" s="131"/>
      <c r="B77" s="144"/>
      <c r="C77" s="141"/>
      <c r="D77" s="141"/>
      <c r="E77" s="141"/>
      <c r="F77" s="141"/>
      <c r="G77" s="44"/>
      <c r="H77" s="51">
        <v>1812</v>
      </c>
      <c r="I77" s="41"/>
      <c r="J77" s="46"/>
      <c r="K77" s="47"/>
      <c r="L77" s="39">
        <f t="shared" si="6"/>
        <v>0</v>
      </c>
      <c r="M77" s="51">
        <f t="shared" si="7"/>
        <v>1812</v>
      </c>
      <c r="N77" s="41">
        <f t="shared" si="8"/>
        <v>0</v>
      </c>
      <c r="O77" s="46">
        <f t="shared" si="9"/>
        <v>0</v>
      </c>
      <c r="P77" s="47">
        <f t="shared" si="10"/>
        <v>0</v>
      </c>
      <c r="S77" s="44"/>
      <c r="T77" s="51" t="s">
        <v>106</v>
      </c>
      <c r="U77" s="41"/>
      <c r="V77" s="46"/>
      <c r="W77" s="47"/>
    </row>
    <row r="78" spans="1:23" ht="20.399999999999999" x14ac:dyDescent="0.25">
      <c r="A78" s="131"/>
      <c r="B78" s="144"/>
      <c r="C78" s="141"/>
      <c r="D78" s="141"/>
      <c r="E78" s="141"/>
      <c r="F78" s="141"/>
      <c r="G78" s="44"/>
      <c r="H78" s="51">
        <v>1812</v>
      </c>
      <c r="I78" s="41"/>
      <c r="J78" s="46"/>
      <c r="K78" s="47"/>
      <c r="L78" s="39">
        <f t="shared" si="6"/>
        <v>0</v>
      </c>
      <c r="M78" s="51">
        <f t="shared" si="7"/>
        <v>1812</v>
      </c>
      <c r="N78" s="41">
        <f t="shared" si="8"/>
        <v>0</v>
      </c>
      <c r="O78" s="46">
        <f t="shared" si="9"/>
        <v>0</v>
      </c>
      <c r="P78" s="47">
        <f t="shared" si="10"/>
        <v>0</v>
      </c>
      <c r="S78" s="44"/>
      <c r="T78" s="51" t="s">
        <v>106</v>
      </c>
      <c r="U78" s="41"/>
      <c r="V78" s="46"/>
      <c r="W78" s="47"/>
    </row>
    <row r="79" spans="1:23" ht="20.399999999999999" x14ac:dyDescent="0.25">
      <c r="A79" s="131"/>
      <c r="B79" s="144"/>
      <c r="C79" s="141"/>
      <c r="D79" s="141"/>
      <c r="E79" s="141"/>
      <c r="F79" s="141"/>
      <c r="G79" s="44"/>
      <c r="H79" s="51">
        <v>1812</v>
      </c>
      <c r="I79" s="41"/>
      <c r="J79" s="46"/>
      <c r="K79" s="47"/>
      <c r="L79" s="39">
        <f t="shared" si="6"/>
        <v>0</v>
      </c>
      <c r="M79" s="51">
        <f t="shared" si="7"/>
        <v>1812</v>
      </c>
      <c r="N79" s="41">
        <f t="shared" si="8"/>
        <v>0</v>
      </c>
      <c r="O79" s="46">
        <f t="shared" si="9"/>
        <v>0</v>
      </c>
      <c r="P79" s="47">
        <f t="shared" si="10"/>
        <v>0</v>
      </c>
      <c r="S79" s="44"/>
      <c r="T79" s="51" t="s">
        <v>106</v>
      </c>
      <c r="U79" s="41"/>
      <c r="V79" s="46"/>
      <c r="W79" s="47"/>
    </row>
    <row r="80" spans="1:23" ht="20.399999999999999" x14ac:dyDescent="0.25">
      <c r="A80" s="131"/>
      <c r="B80" s="144"/>
      <c r="C80" s="141"/>
      <c r="D80" s="141"/>
      <c r="E80" s="141"/>
      <c r="F80" s="141"/>
      <c r="G80" s="44"/>
      <c r="H80" s="51">
        <v>1812</v>
      </c>
      <c r="I80" s="41"/>
      <c r="J80" s="46"/>
      <c r="K80" s="47"/>
      <c r="L80" s="39">
        <f t="shared" si="6"/>
        <v>0</v>
      </c>
      <c r="M80" s="51">
        <f t="shared" si="7"/>
        <v>1812</v>
      </c>
      <c r="N80" s="41">
        <f t="shared" si="8"/>
        <v>0</v>
      </c>
      <c r="O80" s="46">
        <f t="shared" si="9"/>
        <v>0</v>
      </c>
      <c r="P80" s="47">
        <f t="shared" si="10"/>
        <v>0</v>
      </c>
      <c r="S80" s="44"/>
      <c r="T80" s="51" t="s">
        <v>106</v>
      </c>
      <c r="U80" s="41"/>
      <c r="V80" s="46"/>
      <c r="W80" s="47"/>
    </row>
    <row r="81" spans="1:23" ht="20.399999999999999" x14ac:dyDescent="0.25">
      <c r="A81" s="131"/>
      <c r="B81" s="144"/>
      <c r="C81" s="141"/>
      <c r="D81" s="141"/>
      <c r="E81" s="141"/>
      <c r="F81" s="141"/>
      <c r="G81" s="44"/>
      <c r="H81" s="51">
        <v>1812</v>
      </c>
      <c r="I81" s="41"/>
      <c r="J81" s="46"/>
      <c r="K81" s="47"/>
      <c r="L81" s="39">
        <f t="shared" si="6"/>
        <v>0</v>
      </c>
      <c r="M81" s="51">
        <f t="shared" si="7"/>
        <v>1812</v>
      </c>
      <c r="N81" s="41">
        <f t="shared" si="8"/>
        <v>0</v>
      </c>
      <c r="O81" s="46">
        <f t="shared" si="9"/>
        <v>0</v>
      </c>
      <c r="P81" s="47">
        <f t="shared" si="10"/>
        <v>0</v>
      </c>
      <c r="S81" s="44"/>
      <c r="T81" s="51" t="s">
        <v>106</v>
      </c>
      <c r="U81" s="41"/>
      <c r="V81" s="46"/>
      <c r="W81" s="47"/>
    </row>
    <row r="82" spans="1:23" ht="20.399999999999999" x14ac:dyDescent="0.25">
      <c r="A82" s="131"/>
      <c r="B82" s="144"/>
      <c r="C82" s="141"/>
      <c r="D82" s="141"/>
      <c r="E82" s="141"/>
      <c r="F82" s="141"/>
      <c r="G82" s="44"/>
      <c r="H82" s="51">
        <v>1812</v>
      </c>
      <c r="I82" s="41"/>
      <c r="J82" s="46"/>
      <c r="K82" s="47"/>
      <c r="L82" s="39">
        <f t="shared" si="6"/>
        <v>0</v>
      </c>
      <c r="M82" s="51">
        <f t="shared" si="7"/>
        <v>1812</v>
      </c>
      <c r="N82" s="41">
        <f t="shared" si="8"/>
        <v>0</v>
      </c>
      <c r="O82" s="46">
        <f t="shared" si="9"/>
        <v>0</v>
      </c>
      <c r="P82" s="47">
        <f t="shared" si="10"/>
        <v>0</v>
      </c>
      <c r="S82" s="44"/>
      <c r="T82" s="51" t="s">
        <v>106</v>
      </c>
      <c r="U82" s="41"/>
      <c r="V82" s="46"/>
      <c r="W82" s="47"/>
    </row>
    <row r="83" spans="1:23" ht="20.399999999999999" x14ac:dyDescent="0.25">
      <c r="A83" s="131"/>
      <c r="B83" s="144"/>
      <c r="C83" s="141"/>
      <c r="D83" s="141"/>
      <c r="E83" s="141"/>
      <c r="F83" s="141"/>
      <c r="G83" s="44"/>
      <c r="H83" s="51">
        <v>1812</v>
      </c>
      <c r="I83" s="41"/>
      <c r="J83" s="46"/>
      <c r="K83" s="47"/>
      <c r="L83" s="39">
        <f t="shared" si="6"/>
        <v>0</v>
      </c>
      <c r="M83" s="51">
        <f t="shared" si="7"/>
        <v>1812</v>
      </c>
      <c r="N83" s="41">
        <f t="shared" si="8"/>
        <v>0</v>
      </c>
      <c r="O83" s="46">
        <f t="shared" si="9"/>
        <v>0</v>
      </c>
      <c r="P83" s="47">
        <f t="shared" si="10"/>
        <v>0</v>
      </c>
      <c r="S83" s="44"/>
      <c r="T83" s="51" t="s">
        <v>106</v>
      </c>
      <c r="U83" s="41"/>
      <c r="V83" s="46"/>
      <c r="W83" s="47"/>
    </row>
    <row r="84" spans="1:23" ht="20.399999999999999" x14ac:dyDescent="0.25">
      <c r="A84" s="131"/>
      <c r="B84" s="144"/>
      <c r="C84" s="141"/>
      <c r="D84" s="141"/>
      <c r="E84" s="141"/>
      <c r="F84" s="141"/>
      <c r="G84" s="44"/>
      <c r="H84" s="51">
        <v>1812</v>
      </c>
      <c r="I84" s="41"/>
      <c r="J84" s="46"/>
      <c r="K84" s="47"/>
      <c r="L84" s="39">
        <f t="shared" si="6"/>
        <v>0</v>
      </c>
      <c r="M84" s="51">
        <f t="shared" si="7"/>
        <v>1812</v>
      </c>
      <c r="N84" s="41">
        <f t="shared" si="8"/>
        <v>0</v>
      </c>
      <c r="O84" s="46">
        <f t="shared" si="9"/>
        <v>0</v>
      </c>
      <c r="P84" s="47">
        <f t="shared" si="10"/>
        <v>0</v>
      </c>
      <c r="S84" s="44"/>
      <c r="T84" s="51" t="s">
        <v>106</v>
      </c>
      <c r="U84" s="41"/>
      <c r="V84" s="46"/>
      <c r="W84" s="47"/>
    </row>
    <row r="85" spans="1:23" ht="20.399999999999999" x14ac:dyDescent="0.25">
      <c r="A85" s="131"/>
      <c r="B85" s="144"/>
      <c r="C85" s="141"/>
      <c r="D85" s="141"/>
      <c r="E85" s="141"/>
      <c r="F85" s="141"/>
      <c r="G85" s="44"/>
      <c r="H85" s="51">
        <v>1812</v>
      </c>
      <c r="I85" s="41"/>
      <c r="J85" s="46"/>
      <c r="K85" s="47"/>
      <c r="L85" s="39">
        <f t="shared" si="6"/>
        <v>0</v>
      </c>
      <c r="M85" s="51">
        <f t="shared" si="7"/>
        <v>1812</v>
      </c>
      <c r="N85" s="41">
        <f t="shared" si="8"/>
        <v>0</v>
      </c>
      <c r="O85" s="46">
        <f t="shared" si="9"/>
        <v>0</v>
      </c>
      <c r="P85" s="47">
        <f t="shared" si="10"/>
        <v>0</v>
      </c>
      <c r="S85" s="44"/>
      <c r="T85" s="51" t="s">
        <v>106</v>
      </c>
      <c r="U85" s="41"/>
      <c r="V85" s="46"/>
      <c r="W85" s="47"/>
    </row>
    <row r="86" spans="1:23" ht="20.399999999999999" x14ac:dyDescent="0.25">
      <c r="A86" s="131"/>
      <c r="B86" s="144"/>
      <c r="C86" s="141"/>
      <c r="D86" s="141"/>
      <c r="E86" s="141"/>
      <c r="F86" s="141"/>
      <c r="G86" s="44"/>
      <c r="H86" s="51">
        <v>1812</v>
      </c>
      <c r="I86" s="41"/>
      <c r="J86" s="46"/>
      <c r="K86" s="47"/>
      <c r="L86" s="39">
        <f t="shared" si="6"/>
        <v>0</v>
      </c>
      <c r="M86" s="51">
        <f t="shared" si="7"/>
        <v>1812</v>
      </c>
      <c r="N86" s="41">
        <f t="shared" si="8"/>
        <v>0</v>
      </c>
      <c r="O86" s="46">
        <f t="shared" si="9"/>
        <v>0</v>
      </c>
      <c r="P86" s="47">
        <f t="shared" si="10"/>
        <v>0</v>
      </c>
      <c r="S86" s="44"/>
      <c r="T86" s="51" t="s">
        <v>106</v>
      </c>
      <c r="U86" s="41"/>
      <c r="V86" s="46"/>
      <c r="W86" s="47"/>
    </row>
    <row r="87" spans="1:23" ht="20.399999999999999" x14ac:dyDescent="0.25">
      <c r="A87" s="131"/>
      <c r="B87" s="144"/>
      <c r="C87" s="141"/>
      <c r="D87" s="141"/>
      <c r="E87" s="141"/>
      <c r="F87" s="141"/>
      <c r="G87" s="44"/>
      <c r="H87" s="51">
        <v>1812</v>
      </c>
      <c r="I87" s="41"/>
      <c r="J87" s="46"/>
      <c r="K87" s="47"/>
      <c r="L87" s="39">
        <f t="shared" si="6"/>
        <v>0</v>
      </c>
      <c r="M87" s="51">
        <f t="shared" si="7"/>
        <v>1812</v>
      </c>
      <c r="N87" s="41">
        <f t="shared" si="8"/>
        <v>0</v>
      </c>
      <c r="O87" s="46">
        <f t="shared" si="9"/>
        <v>0</v>
      </c>
      <c r="P87" s="47">
        <f t="shared" si="10"/>
        <v>0</v>
      </c>
      <c r="S87" s="44"/>
      <c r="T87" s="51" t="s">
        <v>106</v>
      </c>
      <c r="U87" s="41"/>
      <c r="V87" s="46"/>
      <c r="W87" s="47"/>
    </row>
    <row r="88" spans="1:23" ht="20.399999999999999" x14ac:dyDescent="0.25">
      <c r="A88" s="131"/>
      <c r="B88" s="144"/>
      <c r="C88" s="141"/>
      <c r="D88" s="141"/>
      <c r="E88" s="141"/>
      <c r="F88" s="141"/>
      <c r="G88" s="44"/>
      <c r="H88" s="51">
        <v>1812</v>
      </c>
      <c r="I88" s="41"/>
      <c r="J88" s="46"/>
      <c r="K88" s="47"/>
      <c r="L88" s="39">
        <f t="shared" si="6"/>
        <v>0</v>
      </c>
      <c r="M88" s="51">
        <f t="shared" si="7"/>
        <v>1812</v>
      </c>
      <c r="N88" s="41">
        <f t="shared" si="8"/>
        <v>0</v>
      </c>
      <c r="O88" s="46">
        <f t="shared" si="9"/>
        <v>0</v>
      </c>
      <c r="P88" s="47">
        <f t="shared" si="10"/>
        <v>0</v>
      </c>
      <c r="S88" s="44"/>
      <c r="T88" s="51" t="s">
        <v>106</v>
      </c>
      <c r="U88" s="41"/>
      <c r="V88" s="46"/>
      <c r="W88" s="47"/>
    </row>
    <row r="89" spans="1:23" ht="20.399999999999999" x14ac:dyDescent="0.25">
      <c r="A89" s="131"/>
      <c r="B89" s="144"/>
      <c r="C89" s="141"/>
      <c r="D89" s="141"/>
      <c r="E89" s="141"/>
      <c r="F89" s="141"/>
      <c r="G89" s="44"/>
      <c r="H89" s="51">
        <v>1812</v>
      </c>
      <c r="I89" s="41"/>
      <c r="J89" s="46"/>
      <c r="K89" s="47"/>
      <c r="L89" s="39">
        <f t="shared" si="6"/>
        <v>0</v>
      </c>
      <c r="M89" s="51">
        <f t="shared" si="7"/>
        <v>1812</v>
      </c>
      <c r="N89" s="41">
        <f t="shared" si="8"/>
        <v>0</v>
      </c>
      <c r="O89" s="46">
        <f t="shared" si="9"/>
        <v>0</v>
      </c>
      <c r="P89" s="47">
        <f t="shared" si="10"/>
        <v>0</v>
      </c>
      <c r="S89" s="44"/>
      <c r="T89" s="51" t="s">
        <v>106</v>
      </c>
      <c r="U89" s="41"/>
      <c r="V89" s="46"/>
      <c r="W89" s="47"/>
    </row>
    <row r="90" spans="1:23" ht="20.399999999999999" x14ac:dyDescent="0.25">
      <c r="A90" s="131"/>
      <c r="B90" s="144"/>
      <c r="C90" s="141"/>
      <c r="D90" s="141"/>
      <c r="E90" s="141"/>
      <c r="F90" s="141"/>
      <c r="G90" s="44"/>
      <c r="H90" s="51">
        <v>1812</v>
      </c>
      <c r="I90" s="41"/>
      <c r="J90" s="46"/>
      <c r="K90" s="47"/>
      <c r="L90" s="39">
        <f t="shared" si="6"/>
        <v>0</v>
      </c>
      <c r="M90" s="51">
        <f t="shared" si="7"/>
        <v>1812</v>
      </c>
      <c r="N90" s="41">
        <f t="shared" si="8"/>
        <v>0</v>
      </c>
      <c r="O90" s="46">
        <f t="shared" si="9"/>
        <v>0</v>
      </c>
      <c r="P90" s="47">
        <f t="shared" si="10"/>
        <v>0</v>
      </c>
      <c r="S90" s="44"/>
      <c r="T90" s="51" t="s">
        <v>107</v>
      </c>
      <c r="U90" s="41"/>
      <c r="V90" s="46"/>
      <c r="W90" s="47"/>
    </row>
    <row r="91" spans="1:23" ht="20.399999999999999" x14ac:dyDescent="0.25">
      <c r="A91" s="131"/>
      <c r="B91" s="144"/>
      <c r="C91" s="141"/>
      <c r="D91" s="141"/>
      <c r="E91" s="141"/>
      <c r="F91" s="141"/>
      <c r="G91" s="44"/>
      <c r="H91" s="51">
        <v>1812</v>
      </c>
      <c r="I91" s="41"/>
      <c r="J91" s="46"/>
      <c r="K91" s="47"/>
      <c r="L91" s="39">
        <f t="shared" si="6"/>
        <v>0</v>
      </c>
      <c r="M91" s="51">
        <f t="shared" si="7"/>
        <v>1812</v>
      </c>
      <c r="N91" s="41">
        <f t="shared" si="8"/>
        <v>0</v>
      </c>
      <c r="O91" s="46">
        <f t="shared" si="9"/>
        <v>0</v>
      </c>
      <c r="P91" s="47">
        <f t="shared" si="10"/>
        <v>0</v>
      </c>
      <c r="S91" s="44"/>
      <c r="T91" s="51" t="s">
        <v>107</v>
      </c>
      <c r="U91" s="41"/>
      <c r="V91" s="46"/>
      <c r="W91" s="47"/>
    </row>
    <row r="92" spans="1:23" ht="20.399999999999999" x14ac:dyDescent="0.25">
      <c r="A92" s="131"/>
      <c r="B92" s="144"/>
      <c r="C92" s="141"/>
      <c r="D92" s="141"/>
      <c r="E92" s="141"/>
      <c r="F92" s="141"/>
      <c r="G92" s="44"/>
      <c r="H92" s="51">
        <v>1812</v>
      </c>
      <c r="I92" s="41"/>
      <c r="J92" s="46"/>
      <c r="K92" s="47"/>
      <c r="L92" s="39">
        <f t="shared" si="6"/>
        <v>0</v>
      </c>
      <c r="M92" s="51">
        <f t="shared" si="7"/>
        <v>1812</v>
      </c>
      <c r="N92" s="41">
        <f t="shared" si="8"/>
        <v>0</v>
      </c>
      <c r="O92" s="46">
        <f t="shared" si="9"/>
        <v>0</v>
      </c>
      <c r="P92" s="47">
        <f t="shared" si="10"/>
        <v>0</v>
      </c>
      <c r="S92" s="44"/>
      <c r="T92" s="51" t="s">
        <v>107</v>
      </c>
      <c r="U92" s="41"/>
      <c r="V92" s="46"/>
      <c r="W92" s="47"/>
    </row>
    <row r="93" spans="1:23" ht="20.399999999999999" x14ac:dyDescent="0.25">
      <c r="A93" s="131"/>
      <c r="B93" s="144"/>
      <c r="C93" s="141"/>
      <c r="D93" s="141"/>
      <c r="E93" s="141"/>
      <c r="F93" s="141"/>
      <c r="G93" s="44"/>
      <c r="H93" s="51">
        <v>1812</v>
      </c>
      <c r="I93" s="41"/>
      <c r="J93" s="46"/>
      <c r="K93" s="47"/>
      <c r="L93" s="39">
        <f t="shared" si="6"/>
        <v>0</v>
      </c>
      <c r="M93" s="51">
        <f t="shared" si="7"/>
        <v>1812</v>
      </c>
      <c r="N93" s="41">
        <f t="shared" si="8"/>
        <v>0</v>
      </c>
      <c r="O93" s="46">
        <f t="shared" si="9"/>
        <v>0</v>
      </c>
      <c r="P93" s="47">
        <f t="shared" si="10"/>
        <v>0</v>
      </c>
      <c r="S93" s="44"/>
      <c r="T93" s="51" t="s">
        <v>107</v>
      </c>
      <c r="U93" s="41"/>
      <c r="V93" s="46"/>
      <c r="W93" s="47"/>
    </row>
    <row r="94" spans="1:23" ht="20.399999999999999" x14ac:dyDescent="0.25">
      <c r="A94" s="131"/>
      <c r="B94" s="144"/>
      <c r="C94" s="141"/>
      <c r="D94" s="141"/>
      <c r="E94" s="141"/>
      <c r="F94" s="141"/>
      <c r="G94" s="44"/>
      <c r="H94" s="51">
        <v>1812</v>
      </c>
      <c r="I94" s="41"/>
      <c r="J94" s="46"/>
      <c r="K94" s="47"/>
      <c r="L94" s="39">
        <f t="shared" si="6"/>
        <v>0</v>
      </c>
      <c r="M94" s="51">
        <f t="shared" si="7"/>
        <v>1812</v>
      </c>
      <c r="N94" s="41">
        <f t="shared" si="8"/>
        <v>0</v>
      </c>
      <c r="O94" s="46">
        <f t="shared" si="9"/>
        <v>0</v>
      </c>
      <c r="P94" s="47">
        <f t="shared" si="10"/>
        <v>0</v>
      </c>
      <c r="S94" s="44"/>
      <c r="T94" s="51" t="s">
        <v>107</v>
      </c>
      <c r="U94" s="41"/>
      <c r="V94" s="46"/>
      <c r="W94" s="47"/>
    </row>
    <row r="95" spans="1:23" ht="20.399999999999999" x14ac:dyDescent="0.25">
      <c r="A95" s="132"/>
      <c r="B95" s="145"/>
      <c r="C95" s="142"/>
      <c r="D95" s="142"/>
      <c r="E95" s="142"/>
      <c r="F95" s="142"/>
      <c r="G95" s="44"/>
      <c r="H95" s="51">
        <v>1812</v>
      </c>
      <c r="I95" s="41"/>
      <c r="J95" s="46"/>
      <c r="K95" s="47"/>
      <c r="L95" s="39">
        <f t="shared" si="6"/>
        <v>0</v>
      </c>
      <c r="M95" s="51">
        <f t="shared" si="7"/>
        <v>1812</v>
      </c>
      <c r="N95" s="41">
        <f t="shared" si="8"/>
        <v>0</v>
      </c>
      <c r="O95" s="46">
        <f t="shared" si="9"/>
        <v>0</v>
      </c>
      <c r="P95" s="47">
        <f t="shared" si="10"/>
        <v>0</v>
      </c>
      <c r="S95" s="44"/>
      <c r="T95" s="51" t="s">
        <v>107</v>
      </c>
      <c r="U95" s="41"/>
      <c r="V95" s="46"/>
      <c r="W95" s="47"/>
    </row>
    <row r="96" spans="1:23" ht="13.2" customHeight="1" x14ac:dyDescent="0.25">
      <c r="A96" s="130" t="s">
        <v>133</v>
      </c>
      <c r="B96" s="143">
        <v>5</v>
      </c>
      <c r="C96" s="140" t="s">
        <v>25</v>
      </c>
      <c r="D96" s="140" t="s">
        <v>26</v>
      </c>
      <c r="E96" s="49" t="s">
        <v>22</v>
      </c>
      <c r="F96" s="50" t="s">
        <v>23</v>
      </c>
      <c r="G96" s="44"/>
      <c r="H96" s="40"/>
      <c r="I96" s="41"/>
      <c r="J96" s="46"/>
      <c r="K96" s="47"/>
      <c r="L96" s="39">
        <f t="shared" si="6"/>
        <v>0</v>
      </c>
      <c r="M96" s="40">
        <f t="shared" si="7"/>
        <v>0</v>
      </c>
      <c r="N96" s="41">
        <f t="shared" si="8"/>
        <v>0</v>
      </c>
      <c r="O96" s="46">
        <f t="shared" si="9"/>
        <v>0</v>
      </c>
      <c r="P96" s="47">
        <f t="shared" si="10"/>
        <v>0</v>
      </c>
      <c r="S96" s="44"/>
      <c r="T96" s="40"/>
      <c r="U96" s="41"/>
      <c r="V96" s="46"/>
      <c r="W96" s="47"/>
    </row>
    <row r="97" spans="1:23" ht="20.399999999999999" x14ac:dyDescent="0.25">
      <c r="A97" s="131"/>
      <c r="B97" s="144"/>
      <c r="C97" s="141"/>
      <c r="D97" s="141"/>
      <c r="E97" s="140" t="s">
        <v>12</v>
      </c>
      <c r="F97" s="140" t="s">
        <v>23</v>
      </c>
      <c r="G97" s="70">
        <v>212.38</v>
      </c>
      <c r="H97" s="51">
        <v>211</v>
      </c>
      <c r="I97" s="41"/>
      <c r="J97" s="46"/>
      <c r="K97" s="71">
        <v>204.2</v>
      </c>
      <c r="L97" s="39">
        <f t="shared" si="6"/>
        <v>212.38</v>
      </c>
      <c r="M97" s="51">
        <f t="shared" si="7"/>
        <v>211</v>
      </c>
      <c r="N97" s="41">
        <f t="shared" si="8"/>
        <v>0</v>
      </c>
      <c r="O97" s="46">
        <f t="shared" si="9"/>
        <v>0</v>
      </c>
      <c r="P97" s="71">
        <f t="shared" si="10"/>
        <v>204.2</v>
      </c>
      <c r="S97" s="70">
        <v>212.38</v>
      </c>
      <c r="T97" s="51" t="s">
        <v>108</v>
      </c>
      <c r="U97" s="41"/>
      <c r="V97" s="46"/>
      <c r="W97" s="71">
        <v>204.2</v>
      </c>
    </row>
    <row r="98" spans="1:23" ht="20.399999999999999" x14ac:dyDescent="0.25">
      <c r="A98" s="131"/>
      <c r="B98" s="144"/>
      <c r="C98" s="141"/>
      <c r="D98" s="141"/>
      <c r="E98" s="141"/>
      <c r="F98" s="141"/>
      <c r="G98" s="44"/>
      <c r="H98" s="51">
        <v>211</v>
      </c>
      <c r="I98" s="41"/>
      <c r="J98" s="46"/>
      <c r="K98" s="47"/>
      <c r="L98" s="39">
        <f t="shared" si="6"/>
        <v>0</v>
      </c>
      <c r="M98" s="51">
        <f t="shared" si="7"/>
        <v>211</v>
      </c>
      <c r="N98" s="41">
        <f t="shared" si="8"/>
        <v>0</v>
      </c>
      <c r="O98" s="46">
        <f t="shared" si="9"/>
        <v>0</v>
      </c>
      <c r="P98" s="47">
        <f t="shared" si="10"/>
        <v>0</v>
      </c>
      <c r="S98" s="44"/>
      <c r="T98" s="51" t="s">
        <v>108</v>
      </c>
      <c r="U98" s="41"/>
      <c r="V98" s="46"/>
      <c r="W98" s="47"/>
    </row>
    <row r="99" spans="1:23" ht="20.399999999999999" x14ac:dyDescent="0.25">
      <c r="A99" s="131"/>
      <c r="B99" s="144"/>
      <c r="C99" s="141"/>
      <c r="D99" s="141"/>
      <c r="E99" s="141"/>
      <c r="F99" s="141"/>
      <c r="G99" s="44"/>
      <c r="H99" s="51">
        <v>211</v>
      </c>
      <c r="I99" s="41"/>
      <c r="J99" s="46"/>
      <c r="K99" s="47"/>
      <c r="L99" s="39">
        <f t="shared" si="6"/>
        <v>0</v>
      </c>
      <c r="M99" s="51">
        <f t="shared" si="7"/>
        <v>211</v>
      </c>
      <c r="N99" s="41">
        <f t="shared" si="8"/>
        <v>0</v>
      </c>
      <c r="O99" s="46">
        <f t="shared" si="9"/>
        <v>0</v>
      </c>
      <c r="P99" s="47">
        <f t="shared" si="10"/>
        <v>0</v>
      </c>
      <c r="S99" s="44"/>
      <c r="T99" s="51" t="s">
        <v>108</v>
      </c>
      <c r="U99" s="41"/>
      <c r="V99" s="46"/>
      <c r="W99" s="47"/>
    </row>
    <row r="100" spans="1:23" ht="20.399999999999999" x14ac:dyDescent="0.25">
      <c r="A100" s="131"/>
      <c r="B100" s="144"/>
      <c r="C100" s="141"/>
      <c r="D100" s="141"/>
      <c r="E100" s="141"/>
      <c r="F100" s="141"/>
      <c r="G100" s="44"/>
      <c r="H100" s="51">
        <v>211</v>
      </c>
      <c r="I100" s="41"/>
      <c r="J100" s="46"/>
      <c r="K100" s="47"/>
      <c r="L100" s="39">
        <f t="shared" si="6"/>
        <v>0</v>
      </c>
      <c r="M100" s="51">
        <f t="shared" si="7"/>
        <v>211</v>
      </c>
      <c r="N100" s="41">
        <f t="shared" si="8"/>
        <v>0</v>
      </c>
      <c r="O100" s="46">
        <f t="shared" si="9"/>
        <v>0</v>
      </c>
      <c r="P100" s="47">
        <f t="shared" si="10"/>
        <v>0</v>
      </c>
      <c r="S100" s="44"/>
      <c r="T100" s="51" t="s">
        <v>108</v>
      </c>
      <c r="U100" s="41"/>
      <c r="V100" s="46"/>
      <c r="W100" s="47"/>
    </row>
    <row r="101" spans="1:23" ht="20.399999999999999" x14ac:dyDescent="0.25">
      <c r="A101" s="131"/>
      <c r="B101" s="144"/>
      <c r="C101" s="141"/>
      <c r="D101" s="141"/>
      <c r="E101" s="141"/>
      <c r="F101" s="141"/>
      <c r="G101" s="44"/>
      <c r="H101" s="51">
        <v>211</v>
      </c>
      <c r="I101" s="41"/>
      <c r="J101" s="46"/>
      <c r="K101" s="47"/>
      <c r="L101" s="39">
        <f t="shared" si="6"/>
        <v>0</v>
      </c>
      <c r="M101" s="51">
        <f t="shared" si="7"/>
        <v>211</v>
      </c>
      <c r="N101" s="41">
        <f t="shared" si="8"/>
        <v>0</v>
      </c>
      <c r="O101" s="46">
        <f t="shared" si="9"/>
        <v>0</v>
      </c>
      <c r="P101" s="47">
        <f t="shared" si="10"/>
        <v>0</v>
      </c>
      <c r="S101" s="44"/>
      <c r="T101" s="51" t="s">
        <v>108</v>
      </c>
      <c r="U101" s="41"/>
      <c r="V101" s="46"/>
      <c r="W101" s="47"/>
    </row>
    <row r="102" spans="1:23" ht="20.399999999999999" x14ac:dyDescent="0.25">
      <c r="A102" s="131"/>
      <c r="B102" s="144"/>
      <c r="C102" s="141"/>
      <c r="D102" s="141"/>
      <c r="E102" s="141"/>
      <c r="F102" s="141"/>
      <c r="G102" s="44"/>
      <c r="H102" s="51">
        <v>211</v>
      </c>
      <c r="I102" s="41"/>
      <c r="J102" s="46"/>
      <c r="K102" s="47"/>
      <c r="L102" s="39">
        <f t="shared" si="6"/>
        <v>0</v>
      </c>
      <c r="M102" s="51">
        <f t="shared" si="7"/>
        <v>211</v>
      </c>
      <c r="N102" s="41">
        <f t="shared" si="8"/>
        <v>0</v>
      </c>
      <c r="O102" s="46">
        <f t="shared" si="9"/>
        <v>0</v>
      </c>
      <c r="P102" s="47">
        <f t="shared" si="10"/>
        <v>0</v>
      </c>
      <c r="S102" s="44"/>
      <c r="T102" s="51" t="s">
        <v>108</v>
      </c>
      <c r="U102" s="41"/>
      <c r="V102" s="46"/>
      <c r="W102" s="47"/>
    </row>
    <row r="103" spans="1:23" ht="20.399999999999999" x14ac:dyDescent="0.25">
      <c r="A103" s="131"/>
      <c r="B103" s="144"/>
      <c r="C103" s="141"/>
      <c r="D103" s="141"/>
      <c r="E103" s="141"/>
      <c r="F103" s="141"/>
      <c r="G103" s="44"/>
      <c r="H103" s="51">
        <v>211</v>
      </c>
      <c r="I103" s="41"/>
      <c r="J103" s="46"/>
      <c r="K103" s="47"/>
      <c r="L103" s="39">
        <f t="shared" si="6"/>
        <v>0</v>
      </c>
      <c r="M103" s="51">
        <f t="shared" si="7"/>
        <v>211</v>
      </c>
      <c r="N103" s="41">
        <f t="shared" si="8"/>
        <v>0</v>
      </c>
      <c r="O103" s="46">
        <f t="shared" si="9"/>
        <v>0</v>
      </c>
      <c r="P103" s="47">
        <f t="shared" si="10"/>
        <v>0</v>
      </c>
      <c r="S103" s="44"/>
      <c r="T103" s="51" t="s">
        <v>109</v>
      </c>
      <c r="U103" s="41"/>
      <c r="V103" s="46"/>
      <c r="W103" s="47"/>
    </row>
    <row r="104" spans="1:23" ht="20.399999999999999" x14ac:dyDescent="0.25">
      <c r="A104" s="131"/>
      <c r="B104" s="144"/>
      <c r="C104" s="141"/>
      <c r="D104" s="141"/>
      <c r="E104" s="141"/>
      <c r="F104" s="141"/>
      <c r="G104" s="44"/>
      <c r="H104" s="51">
        <v>211</v>
      </c>
      <c r="I104" s="41"/>
      <c r="J104" s="46"/>
      <c r="K104" s="47"/>
      <c r="L104" s="39">
        <f t="shared" si="6"/>
        <v>0</v>
      </c>
      <c r="M104" s="51">
        <f t="shared" si="7"/>
        <v>211</v>
      </c>
      <c r="N104" s="41">
        <f t="shared" si="8"/>
        <v>0</v>
      </c>
      <c r="O104" s="46">
        <f t="shared" si="9"/>
        <v>0</v>
      </c>
      <c r="P104" s="47">
        <f t="shared" si="10"/>
        <v>0</v>
      </c>
      <c r="S104" s="44"/>
      <c r="T104" s="51" t="s">
        <v>109</v>
      </c>
      <c r="U104" s="41"/>
      <c r="V104" s="46"/>
      <c r="W104" s="47"/>
    </row>
    <row r="105" spans="1:23" ht="20.399999999999999" x14ac:dyDescent="0.25">
      <c r="A105" s="131"/>
      <c r="B105" s="144"/>
      <c r="C105" s="141"/>
      <c r="D105" s="141"/>
      <c r="E105" s="141"/>
      <c r="F105" s="141"/>
      <c r="G105" s="44"/>
      <c r="H105" s="51">
        <v>211</v>
      </c>
      <c r="I105" s="41"/>
      <c r="J105" s="46"/>
      <c r="K105" s="47"/>
      <c r="L105" s="39">
        <f t="shared" si="6"/>
        <v>0</v>
      </c>
      <c r="M105" s="51">
        <f t="shared" si="7"/>
        <v>211</v>
      </c>
      <c r="N105" s="41">
        <f t="shared" si="8"/>
        <v>0</v>
      </c>
      <c r="O105" s="46">
        <f t="shared" si="9"/>
        <v>0</v>
      </c>
      <c r="P105" s="47">
        <f t="shared" si="10"/>
        <v>0</v>
      </c>
      <c r="S105" s="44"/>
      <c r="T105" s="51" t="s">
        <v>109</v>
      </c>
      <c r="U105" s="41"/>
      <c r="V105" s="46"/>
      <c r="W105" s="47"/>
    </row>
    <row r="106" spans="1:23" ht="20.399999999999999" x14ac:dyDescent="0.25">
      <c r="A106" s="131"/>
      <c r="B106" s="144"/>
      <c r="C106" s="141"/>
      <c r="D106" s="141"/>
      <c r="E106" s="141"/>
      <c r="F106" s="141"/>
      <c r="G106" s="44"/>
      <c r="H106" s="51">
        <v>211</v>
      </c>
      <c r="I106" s="41"/>
      <c r="J106" s="46"/>
      <c r="K106" s="47"/>
      <c r="L106" s="39">
        <f t="shared" si="6"/>
        <v>0</v>
      </c>
      <c r="M106" s="51">
        <f t="shared" si="7"/>
        <v>211</v>
      </c>
      <c r="N106" s="41">
        <f t="shared" si="8"/>
        <v>0</v>
      </c>
      <c r="O106" s="46">
        <f t="shared" si="9"/>
        <v>0</v>
      </c>
      <c r="P106" s="47">
        <f t="shared" si="10"/>
        <v>0</v>
      </c>
      <c r="S106" s="44"/>
      <c r="T106" s="51" t="s">
        <v>109</v>
      </c>
      <c r="U106" s="41"/>
      <c r="V106" s="46"/>
      <c r="W106" s="47"/>
    </row>
    <row r="107" spans="1:23" ht="20.399999999999999" x14ac:dyDescent="0.25">
      <c r="A107" s="131"/>
      <c r="B107" s="144"/>
      <c r="C107" s="141"/>
      <c r="D107" s="141"/>
      <c r="E107" s="141"/>
      <c r="F107" s="141"/>
      <c r="G107" s="44"/>
      <c r="H107" s="51">
        <v>211</v>
      </c>
      <c r="I107" s="41"/>
      <c r="J107" s="46"/>
      <c r="K107" s="47"/>
      <c r="L107" s="39">
        <f t="shared" si="6"/>
        <v>0</v>
      </c>
      <c r="M107" s="51">
        <f t="shared" si="7"/>
        <v>211</v>
      </c>
      <c r="N107" s="41">
        <f t="shared" si="8"/>
        <v>0</v>
      </c>
      <c r="O107" s="46">
        <f t="shared" si="9"/>
        <v>0</v>
      </c>
      <c r="P107" s="47">
        <f t="shared" si="10"/>
        <v>0</v>
      </c>
      <c r="S107" s="44"/>
      <c r="T107" s="51" t="s">
        <v>109</v>
      </c>
      <c r="U107" s="41"/>
      <c r="V107" s="46"/>
      <c r="W107" s="47"/>
    </row>
    <row r="108" spans="1:23" ht="20.399999999999999" x14ac:dyDescent="0.25">
      <c r="A108" s="131"/>
      <c r="B108" s="144"/>
      <c r="C108" s="141"/>
      <c r="D108" s="141"/>
      <c r="E108" s="141"/>
      <c r="F108" s="141"/>
      <c r="G108" s="44"/>
      <c r="H108" s="51">
        <v>211</v>
      </c>
      <c r="I108" s="41"/>
      <c r="J108" s="46"/>
      <c r="K108" s="47"/>
      <c r="L108" s="39">
        <f t="shared" si="6"/>
        <v>0</v>
      </c>
      <c r="M108" s="51">
        <f t="shared" si="7"/>
        <v>211</v>
      </c>
      <c r="N108" s="41">
        <f t="shared" si="8"/>
        <v>0</v>
      </c>
      <c r="O108" s="46">
        <f t="shared" si="9"/>
        <v>0</v>
      </c>
      <c r="P108" s="47">
        <f t="shared" si="10"/>
        <v>0</v>
      </c>
      <c r="S108" s="44"/>
      <c r="T108" s="51" t="s">
        <v>109</v>
      </c>
      <c r="U108" s="41"/>
      <c r="V108" s="46"/>
      <c r="W108" s="47"/>
    </row>
    <row r="109" spans="1:23" ht="20.399999999999999" x14ac:dyDescent="0.25">
      <c r="A109" s="131"/>
      <c r="B109" s="144"/>
      <c r="C109" s="141"/>
      <c r="D109" s="141"/>
      <c r="E109" s="141"/>
      <c r="F109" s="141"/>
      <c r="G109" s="44"/>
      <c r="H109" s="51">
        <v>211</v>
      </c>
      <c r="I109" s="41"/>
      <c r="J109" s="46"/>
      <c r="K109" s="47"/>
      <c r="L109" s="39">
        <f t="shared" si="6"/>
        <v>0</v>
      </c>
      <c r="M109" s="51">
        <f t="shared" si="7"/>
        <v>211</v>
      </c>
      <c r="N109" s="41">
        <f t="shared" si="8"/>
        <v>0</v>
      </c>
      <c r="O109" s="46">
        <f t="shared" si="9"/>
        <v>0</v>
      </c>
      <c r="P109" s="47">
        <f t="shared" si="10"/>
        <v>0</v>
      </c>
      <c r="S109" s="44"/>
      <c r="T109" s="51" t="s">
        <v>109</v>
      </c>
      <c r="U109" s="41"/>
      <c r="V109" s="46"/>
      <c r="W109" s="47"/>
    </row>
    <row r="110" spans="1:23" ht="20.399999999999999" x14ac:dyDescent="0.25">
      <c r="A110" s="131"/>
      <c r="B110" s="144"/>
      <c r="C110" s="141"/>
      <c r="D110" s="141"/>
      <c r="E110" s="141"/>
      <c r="F110" s="141"/>
      <c r="G110" s="44"/>
      <c r="H110" s="51">
        <v>211</v>
      </c>
      <c r="I110" s="41"/>
      <c r="J110" s="46"/>
      <c r="K110" s="47"/>
      <c r="L110" s="39">
        <f t="shared" si="6"/>
        <v>0</v>
      </c>
      <c r="M110" s="51">
        <f t="shared" si="7"/>
        <v>211</v>
      </c>
      <c r="N110" s="41">
        <f t="shared" si="8"/>
        <v>0</v>
      </c>
      <c r="O110" s="46">
        <f t="shared" si="9"/>
        <v>0</v>
      </c>
      <c r="P110" s="47">
        <f t="shared" si="10"/>
        <v>0</v>
      </c>
      <c r="S110" s="44"/>
      <c r="T110" s="51" t="s">
        <v>109</v>
      </c>
      <c r="U110" s="41"/>
      <c r="V110" s="46"/>
      <c r="W110" s="47"/>
    </row>
    <row r="111" spans="1:23" ht="20.399999999999999" x14ac:dyDescent="0.25">
      <c r="A111" s="131"/>
      <c r="B111" s="144"/>
      <c r="C111" s="141"/>
      <c r="D111" s="141"/>
      <c r="E111" s="141"/>
      <c r="F111" s="141"/>
      <c r="G111" s="44"/>
      <c r="H111" s="51">
        <v>211</v>
      </c>
      <c r="I111" s="41"/>
      <c r="J111" s="46"/>
      <c r="K111" s="47"/>
      <c r="L111" s="39">
        <f t="shared" si="6"/>
        <v>0</v>
      </c>
      <c r="M111" s="51">
        <f t="shared" si="7"/>
        <v>211</v>
      </c>
      <c r="N111" s="41">
        <f t="shared" si="8"/>
        <v>0</v>
      </c>
      <c r="O111" s="46">
        <f t="shared" si="9"/>
        <v>0</v>
      </c>
      <c r="P111" s="47">
        <f t="shared" si="10"/>
        <v>0</v>
      </c>
      <c r="S111" s="44"/>
      <c r="T111" s="51" t="s">
        <v>109</v>
      </c>
      <c r="U111" s="41"/>
      <c r="V111" s="46"/>
      <c r="W111" s="47"/>
    </row>
    <row r="112" spans="1:23" ht="20.399999999999999" x14ac:dyDescent="0.25">
      <c r="A112" s="131"/>
      <c r="B112" s="144"/>
      <c r="C112" s="141"/>
      <c r="D112" s="141"/>
      <c r="E112" s="141"/>
      <c r="F112" s="141"/>
      <c r="G112" s="44"/>
      <c r="H112" s="51">
        <v>211</v>
      </c>
      <c r="I112" s="41"/>
      <c r="J112" s="46"/>
      <c r="K112" s="47"/>
      <c r="L112" s="39">
        <f t="shared" si="6"/>
        <v>0</v>
      </c>
      <c r="M112" s="51">
        <f t="shared" si="7"/>
        <v>211</v>
      </c>
      <c r="N112" s="41">
        <f t="shared" si="8"/>
        <v>0</v>
      </c>
      <c r="O112" s="46">
        <f t="shared" si="9"/>
        <v>0</v>
      </c>
      <c r="P112" s="47">
        <f t="shared" si="10"/>
        <v>0</v>
      </c>
      <c r="S112" s="44"/>
      <c r="T112" s="51" t="s">
        <v>109</v>
      </c>
      <c r="U112" s="41"/>
      <c r="V112" s="46"/>
      <c r="W112" s="47"/>
    </row>
    <row r="113" spans="1:23" ht="20.399999999999999" x14ac:dyDescent="0.25">
      <c r="A113" s="131"/>
      <c r="B113" s="144"/>
      <c r="C113" s="141"/>
      <c r="D113" s="141"/>
      <c r="E113" s="141"/>
      <c r="F113" s="141"/>
      <c r="G113" s="44"/>
      <c r="H113" s="51">
        <v>211</v>
      </c>
      <c r="I113" s="41"/>
      <c r="J113" s="46"/>
      <c r="K113" s="47"/>
      <c r="L113" s="39">
        <f t="shared" si="6"/>
        <v>0</v>
      </c>
      <c r="M113" s="51">
        <f t="shared" si="7"/>
        <v>211</v>
      </c>
      <c r="N113" s="41">
        <f t="shared" si="8"/>
        <v>0</v>
      </c>
      <c r="O113" s="46">
        <f t="shared" si="9"/>
        <v>0</v>
      </c>
      <c r="P113" s="47">
        <f t="shared" si="10"/>
        <v>0</v>
      </c>
      <c r="S113" s="44"/>
      <c r="T113" s="51" t="s">
        <v>109</v>
      </c>
      <c r="U113" s="41"/>
      <c r="V113" s="46"/>
      <c r="W113" s="47"/>
    </row>
    <row r="114" spans="1:23" ht="20.399999999999999" x14ac:dyDescent="0.25">
      <c r="A114" s="131"/>
      <c r="B114" s="144"/>
      <c r="C114" s="141"/>
      <c r="D114" s="141"/>
      <c r="E114" s="141"/>
      <c r="F114" s="141"/>
      <c r="G114" s="44"/>
      <c r="H114" s="51">
        <v>211</v>
      </c>
      <c r="I114" s="41"/>
      <c r="J114" s="46"/>
      <c r="K114" s="47"/>
      <c r="L114" s="39">
        <f t="shared" si="6"/>
        <v>0</v>
      </c>
      <c r="M114" s="51">
        <f t="shared" si="7"/>
        <v>211</v>
      </c>
      <c r="N114" s="41">
        <f t="shared" si="8"/>
        <v>0</v>
      </c>
      <c r="O114" s="46">
        <f t="shared" si="9"/>
        <v>0</v>
      </c>
      <c r="P114" s="47">
        <f t="shared" si="10"/>
        <v>0</v>
      </c>
      <c r="S114" s="44"/>
      <c r="T114" s="51" t="s">
        <v>109</v>
      </c>
      <c r="U114" s="41"/>
      <c r="V114" s="46"/>
      <c r="W114" s="47"/>
    </row>
    <row r="115" spans="1:23" ht="20.399999999999999" x14ac:dyDescent="0.25">
      <c r="A115" s="131"/>
      <c r="B115" s="144"/>
      <c r="C115" s="141"/>
      <c r="D115" s="141"/>
      <c r="E115" s="141"/>
      <c r="F115" s="141"/>
      <c r="G115" s="44"/>
      <c r="H115" s="51">
        <v>211</v>
      </c>
      <c r="I115" s="41"/>
      <c r="J115" s="46"/>
      <c r="K115" s="47"/>
      <c r="L115" s="39">
        <f t="shared" si="6"/>
        <v>0</v>
      </c>
      <c r="M115" s="51">
        <f t="shared" si="7"/>
        <v>211</v>
      </c>
      <c r="N115" s="41">
        <f t="shared" si="8"/>
        <v>0</v>
      </c>
      <c r="O115" s="46">
        <f t="shared" si="9"/>
        <v>0</v>
      </c>
      <c r="P115" s="47">
        <f t="shared" si="10"/>
        <v>0</v>
      </c>
      <c r="S115" s="44"/>
      <c r="T115" s="51" t="s">
        <v>109</v>
      </c>
      <c r="U115" s="41"/>
      <c r="V115" s="46"/>
      <c r="W115" s="47"/>
    </row>
    <row r="116" spans="1:23" ht="20.399999999999999" x14ac:dyDescent="0.25">
      <c r="A116" s="131"/>
      <c r="B116" s="144"/>
      <c r="C116" s="141"/>
      <c r="D116" s="141"/>
      <c r="E116" s="141"/>
      <c r="F116" s="141"/>
      <c r="G116" s="44"/>
      <c r="H116" s="51">
        <v>211</v>
      </c>
      <c r="I116" s="41"/>
      <c r="J116" s="46"/>
      <c r="K116" s="47"/>
      <c r="L116" s="39">
        <f t="shared" si="6"/>
        <v>0</v>
      </c>
      <c r="M116" s="51">
        <f t="shared" si="7"/>
        <v>211</v>
      </c>
      <c r="N116" s="41">
        <f t="shared" si="8"/>
        <v>0</v>
      </c>
      <c r="O116" s="46">
        <f t="shared" si="9"/>
        <v>0</v>
      </c>
      <c r="P116" s="47">
        <f t="shared" si="10"/>
        <v>0</v>
      </c>
      <c r="S116" s="44"/>
      <c r="T116" s="51" t="s">
        <v>109</v>
      </c>
      <c r="U116" s="41"/>
      <c r="V116" s="46"/>
      <c r="W116" s="47"/>
    </row>
    <row r="117" spans="1:23" ht="20.399999999999999" x14ac:dyDescent="0.25">
      <c r="A117" s="131"/>
      <c r="B117" s="144"/>
      <c r="C117" s="141"/>
      <c r="D117" s="141"/>
      <c r="E117" s="141"/>
      <c r="F117" s="141"/>
      <c r="G117" s="44"/>
      <c r="H117" s="51">
        <v>211</v>
      </c>
      <c r="I117" s="41"/>
      <c r="J117" s="46"/>
      <c r="K117" s="47"/>
      <c r="L117" s="39">
        <f t="shared" si="6"/>
        <v>0</v>
      </c>
      <c r="M117" s="51">
        <f t="shared" si="7"/>
        <v>211</v>
      </c>
      <c r="N117" s="41">
        <f t="shared" si="8"/>
        <v>0</v>
      </c>
      <c r="O117" s="46">
        <f t="shared" si="9"/>
        <v>0</v>
      </c>
      <c r="P117" s="47">
        <f t="shared" si="10"/>
        <v>0</v>
      </c>
      <c r="S117" s="44"/>
      <c r="T117" s="51" t="s">
        <v>109</v>
      </c>
      <c r="U117" s="41"/>
      <c r="V117" s="46"/>
      <c r="W117" s="47"/>
    </row>
    <row r="118" spans="1:23" ht="20.399999999999999" x14ac:dyDescent="0.25">
      <c r="A118" s="131"/>
      <c r="B118" s="144"/>
      <c r="C118" s="141"/>
      <c r="D118" s="141"/>
      <c r="E118" s="141"/>
      <c r="F118" s="141"/>
      <c r="G118" s="44"/>
      <c r="H118" s="51">
        <v>211</v>
      </c>
      <c r="I118" s="41"/>
      <c r="J118" s="46"/>
      <c r="K118" s="47"/>
      <c r="L118" s="39">
        <f t="shared" si="6"/>
        <v>0</v>
      </c>
      <c r="M118" s="51">
        <f t="shared" si="7"/>
        <v>211</v>
      </c>
      <c r="N118" s="41">
        <f t="shared" si="8"/>
        <v>0</v>
      </c>
      <c r="O118" s="46">
        <f t="shared" si="9"/>
        <v>0</v>
      </c>
      <c r="P118" s="47">
        <f t="shared" si="10"/>
        <v>0</v>
      </c>
      <c r="S118" s="44"/>
      <c r="T118" s="51" t="s">
        <v>110</v>
      </c>
      <c r="U118" s="41"/>
      <c r="V118" s="46"/>
      <c r="W118" s="47"/>
    </row>
    <row r="119" spans="1:23" ht="20.399999999999999" x14ac:dyDescent="0.25">
      <c r="A119" s="131"/>
      <c r="B119" s="144"/>
      <c r="C119" s="141"/>
      <c r="D119" s="141"/>
      <c r="E119" s="141"/>
      <c r="F119" s="141"/>
      <c r="G119" s="44"/>
      <c r="H119" s="51">
        <v>211</v>
      </c>
      <c r="I119" s="41"/>
      <c r="J119" s="46"/>
      <c r="K119" s="47"/>
      <c r="L119" s="39">
        <f t="shared" si="6"/>
        <v>0</v>
      </c>
      <c r="M119" s="51">
        <f t="shared" si="7"/>
        <v>211</v>
      </c>
      <c r="N119" s="41">
        <f t="shared" si="8"/>
        <v>0</v>
      </c>
      <c r="O119" s="46">
        <f t="shared" si="9"/>
        <v>0</v>
      </c>
      <c r="P119" s="47">
        <f t="shared" si="10"/>
        <v>0</v>
      </c>
      <c r="S119" s="44"/>
      <c r="T119" s="51" t="s">
        <v>110</v>
      </c>
      <c r="U119" s="41"/>
      <c r="V119" s="46"/>
      <c r="W119" s="47"/>
    </row>
    <row r="120" spans="1:23" ht="20.399999999999999" x14ac:dyDescent="0.25">
      <c r="A120" s="131"/>
      <c r="B120" s="144"/>
      <c r="C120" s="141"/>
      <c r="D120" s="141"/>
      <c r="E120" s="141"/>
      <c r="F120" s="141"/>
      <c r="G120" s="44"/>
      <c r="H120" s="51">
        <v>211</v>
      </c>
      <c r="I120" s="41"/>
      <c r="J120" s="46"/>
      <c r="K120" s="47"/>
      <c r="L120" s="39">
        <f t="shared" si="6"/>
        <v>0</v>
      </c>
      <c r="M120" s="51">
        <f t="shared" si="7"/>
        <v>211</v>
      </c>
      <c r="N120" s="41">
        <f t="shared" si="8"/>
        <v>0</v>
      </c>
      <c r="O120" s="46">
        <f t="shared" si="9"/>
        <v>0</v>
      </c>
      <c r="P120" s="47">
        <f t="shared" si="10"/>
        <v>0</v>
      </c>
      <c r="S120" s="44"/>
      <c r="T120" s="51" t="s">
        <v>110</v>
      </c>
      <c r="U120" s="41"/>
      <c r="V120" s="46"/>
      <c r="W120" s="47"/>
    </row>
    <row r="121" spans="1:23" ht="20.399999999999999" x14ac:dyDescent="0.25">
      <c r="A121" s="131"/>
      <c r="B121" s="144"/>
      <c r="C121" s="141"/>
      <c r="D121" s="141"/>
      <c r="E121" s="141"/>
      <c r="F121" s="141"/>
      <c r="G121" s="44"/>
      <c r="H121" s="51">
        <v>211</v>
      </c>
      <c r="I121" s="41"/>
      <c r="J121" s="46"/>
      <c r="K121" s="47"/>
      <c r="L121" s="39">
        <f t="shared" si="6"/>
        <v>0</v>
      </c>
      <c r="M121" s="51">
        <f t="shared" si="7"/>
        <v>211</v>
      </c>
      <c r="N121" s="41">
        <f t="shared" si="8"/>
        <v>0</v>
      </c>
      <c r="O121" s="46">
        <f t="shared" si="9"/>
        <v>0</v>
      </c>
      <c r="P121" s="47">
        <f t="shared" si="10"/>
        <v>0</v>
      </c>
      <c r="S121" s="44"/>
      <c r="T121" s="51" t="s">
        <v>110</v>
      </c>
      <c r="U121" s="41"/>
      <c r="V121" s="46"/>
      <c r="W121" s="47"/>
    </row>
    <row r="122" spans="1:23" ht="20.399999999999999" x14ac:dyDescent="0.25">
      <c r="A122" s="131"/>
      <c r="B122" s="144"/>
      <c r="C122" s="141"/>
      <c r="D122" s="141"/>
      <c r="E122" s="141"/>
      <c r="F122" s="141"/>
      <c r="G122" s="44"/>
      <c r="H122" s="51">
        <v>211</v>
      </c>
      <c r="I122" s="41"/>
      <c r="J122" s="46"/>
      <c r="K122" s="47"/>
      <c r="L122" s="39">
        <f t="shared" si="6"/>
        <v>0</v>
      </c>
      <c r="M122" s="51">
        <f t="shared" si="7"/>
        <v>211</v>
      </c>
      <c r="N122" s="41">
        <f t="shared" si="8"/>
        <v>0</v>
      </c>
      <c r="O122" s="46">
        <f t="shared" si="9"/>
        <v>0</v>
      </c>
      <c r="P122" s="47">
        <f t="shared" si="10"/>
        <v>0</v>
      </c>
      <c r="S122" s="44"/>
      <c r="T122" s="51" t="s">
        <v>110</v>
      </c>
      <c r="U122" s="41"/>
      <c r="V122" s="46"/>
      <c r="W122" s="47"/>
    </row>
    <row r="123" spans="1:23" ht="20.399999999999999" x14ac:dyDescent="0.25">
      <c r="A123" s="131"/>
      <c r="B123" s="144"/>
      <c r="C123" s="141"/>
      <c r="D123" s="141"/>
      <c r="E123" s="142"/>
      <c r="F123" s="142"/>
      <c r="G123" s="44"/>
      <c r="H123" s="51">
        <v>211</v>
      </c>
      <c r="I123" s="41"/>
      <c r="J123" s="46"/>
      <c r="K123" s="47"/>
      <c r="L123" s="39">
        <f t="shared" si="6"/>
        <v>0</v>
      </c>
      <c r="M123" s="51">
        <f t="shared" si="7"/>
        <v>211</v>
      </c>
      <c r="N123" s="41">
        <f t="shared" si="8"/>
        <v>0</v>
      </c>
      <c r="O123" s="46">
        <f t="shared" si="9"/>
        <v>0</v>
      </c>
      <c r="P123" s="47">
        <f t="shared" si="10"/>
        <v>0</v>
      </c>
      <c r="S123" s="44"/>
      <c r="T123" s="51" t="s">
        <v>110</v>
      </c>
      <c r="U123" s="41"/>
      <c r="V123" s="46"/>
      <c r="W123" s="47"/>
    </row>
    <row r="124" spans="1:23" ht="20.399999999999999" x14ac:dyDescent="0.25">
      <c r="A124" s="131"/>
      <c r="B124" s="144"/>
      <c r="C124" s="141"/>
      <c r="D124" s="141"/>
      <c r="E124" s="114" t="s">
        <v>13</v>
      </c>
      <c r="F124" s="140" t="s">
        <v>132</v>
      </c>
      <c r="G124" s="53" t="s">
        <v>45</v>
      </c>
      <c r="H124" s="51">
        <v>8333</v>
      </c>
      <c r="I124" s="41"/>
      <c r="J124" s="46"/>
      <c r="K124" s="43">
        <v>9776.7800000000007</v>
      </c>
      <c r="L124" s="39">
        <f t="shared" si="6"/>
        <v>0</v>
      </c>
      <c r="M124" s="51">
        <f t="shared" si="7"/>
        <v>8333</v>
      </c>
      <c r="N124" s="41">
        <f t="shared" si="8"/>
        <v>0</v>
      </c>
      <c r="O124" s="46">
        <f t="shared" si="9"/>
        <v>0</v>
      </c>
      <c r="P124" s="43">
        <f t="shared" si="10"/>
        <v>9776.7800000000007</v>
      </c>
      <c r="S124" s="53" t="s">
        <v>45</v>
      </c>
      <c r="T124" s="51" t="s">
        <v>111</v>
      </c>
      <c r="U124" s="41"/>
      <c r="V124" s="46"/>
      <c r="W124" s="43">
        <v>9776.7800000000007</v>
      </c>
    </row>
    <row r="125" spans="1:23" ht="20.399999999999999" x14ac:dyDescent="0.25">
      <c r="A125" s="131"/>
      <c r="B125" s="144"/>
      <c r="C125" s="141"/>
      <c r="D125" s="141"/>
      <c r="E125" s="114"/>
      <c r="F125" s="141"/>
      <c r="G125" s="44"/>
      <c r="H125" s="51">
        <v>8333</v>
      </c>
      <c r="I125" s="41"/>
      <c r="J125" s="46"/>
      <c r="K125" s="47"/>
      <c r="L125" s="39">
        <f t="shared" si="6"/>
        <v>0</v>
      </c>
      <c r="M125" s="51">
        <f t="shared" si="7"/>
        <v>8333</v>
      </c>
      <c r="N125" s="41">
        <f t="shared" si="8"/>
        <v>0</v>
      </c>
      <c r="O125" s="46">
        <f t="shared" si="9"/>
        <v>0</v>
      </c>
      <c r="P125" s="47">
        <f t="shared" si="10"/>
        <v>0</v>
      </c>
      <c r="S125" s="44"/>
      <c r="T125" s="51" t="s">
        <v>111</v>
      </c>
      <c r="U125" s="41"/>
      <c r="V125" s="46"/>
      <c r="W125" s="47"/>
    </row>
    <row r="126" spans="1:23" ht="20.399999999999999" x14ac:dyDescent="0.25">
      <c r="A126" s="131"/>
      <c r="B126" s="144"/>
      <c r="C126" s="141"/>
      <c r="D126" s="141"/>
      <c r="E126" s="114"/>
      <c r="F126" s="141"/>
      <c r="G126" s="44"/>
      <c r="H126" s="51">
        <v>8333</v>
      </c>
      <c r="I126" s="41"/>
      <c r="J126" s="46"/>
      <c r="K126" s="47"/>
      <c r="L126" s="39">
        <f t="shared" si="6"/>
        <v>0</v>
      </c>
      <c r="M126" s="51">
        <f t="shared" si="7"/>
        <v>8333</v>
      </c>
      <c r="N126" s="41">
        <f t="shared" si="8"/>
        <v>0</v>
      </c>
      <c r="O126" s="46">
        <f t="shared" si="9"/>
        <v>0</v>
      </c>
      <c r="P126" s="47">
        <f t="shared" si="10"/>
        <v>0</v>
      </c>
      <c r="S126" s="44"/>
      <c r="T126" s="51" t="s">
        <v>111</v>
      </c>
      <c r="U126" s="41"/>
      <c r="V126" s="46"/>
      <c r="W126" s="47"/>
    </row>
    <row r="127" spans="1:23" ht="20.399999999999999" x14ac:dyDescent="0.25">
      <c r="A127" s="131"/>
      <c r="B127" s="144"/>
      <c r="C127" s="141"/>
      <c r="D127" s="141"/>
      <c r="E127" s="114"/>
      <c r="F127" s="141"/>
      <c r="G127" s="44"/>
      <c r="H127" s="51">
        <v>8333</v>
      </c>
      <c r="I127" s="41"/>
      <c r="J127" s="46"/>
      <c r="K127" s="47"/>
      <c r="L127" s="39">
        <f t="shared" si="6"/>
        <v>0</v>
      </c>
      <c r="M127" s="51">
        <f t="shared" si="7"/>
        <v>8333</v>
      </c>
      <c r="N127" s="41">
        <f t="shared" si="8"/>
        <v>0</v>
      </c>
      <c r="O127" s="46">
        <f t="shared" si="9"/>
        <v>0</v>
      </c>
      <c r="P127" s="47">
        <f t="shared" si="10"/>
        <v>0</v>
      </c>
      <c r="S127" s="44"/>
      <c r="T127" s="51" t="s">
        <v>111</v>
      </c>
      <c r="U127" s="41"/>
      <c r="V127" s="46"/>
      <c r="W127" s="47"/>
    </row>
    <row r="128" spans="1:23" ht="20.399999999999999" x14ac:dyDescent="0.25">
      <c r="A128" s="131"/>
      <c r="B128" s="144"/>
      <c r="C128" s="141"/>
      <c r="D128" s="141"/>
      <c r="E128" s="114"/>
      <c r="F128" s="141"/>
      <c r="G128" s="44"/>
      <c r="H128" s="51">
        <v>8333</v>
      </c>
      <c r="I128" s="41"/>
      <c r="J128" s="46"/>
      <c r="K128" s="47"/>
      <c r="L128" s="39">
        <f t="shared" si="6"/>
        <v>0</v>
      </c>
      <c r="M128" s="51">
        <f t="shared" si="7"/>
        <v>8333</v>
      </c>
      <c r="N128" s="41">
        <f t="shared" si="8"/>
        <v>0</v>
      </c>
      <c r="O128" s="46">
        <f t="shared" si="9"/>
        <v>0</v>
      </c>
      <c r="P128" s="47">
        <f t="shared" si="10"/>
        <v>0</v>
      </c>
      <c r="S128" s="44"/>
      <c r="T128" s="51" t="s">
        <v>111</v>
      </c>
      <c r="U128" s="41"/>
      <c r="V128" s="46"/>
      <c r="W128" s="47"/>
    </row>
    <row r="129" spans="1:23" ht="20.399999999999999" x14ac:dyDescent="0.25">
      <c r="A129" s="131"/>
      <c r="B129" s="144"/>
      <c r="C129" s="141"/>
      <c r="D129" s="141"/>
      <c r="E129" s="114"/>
      <c r="F129" s="141"/>
      <c r="G129" s="44"/>
      <c r="H129" s="51">
        <v>8333</v>
      </c>
      <c r="I129" s="41"/>
      <c r="J129" s="46"/>
      <c r="K129" s="47"/>
      <c r="L129" s="39">
        <f t="shared" si="6"/>
        <v>0</v>
      </c>
      <c r="M129" s="51">
        <f t="shared" si="7"/>
        <v>8333</v>
      </c>
      <c r="N129" s="41">
        <f t="shared" si="8"/>
        <v>0</v>
      </c>
      <c r="O129" s="46">
        <f t="shared" si="9"/>
        <v>0</v>
      </c>
      <c r="P129" s="47">
        <f t="shared" si="10"/>
        <v>0</v>
      </c>
      <c r="S129" s="44"/>
      <c r="T129" s="51" t="s">
        <v>111</v>
      </c>
      <c r="U129" s="41"/>
      <c r="V129" s="46"/>
      <c r="W129" s="47"/>
    </row>
    <row r="130" spans="1:23" ht="20.399999999999999" x14ac:dyDescent="0.25">
      <c r="A130" s="131"/>
      <c r="B130" s="144"/>
      <c r="C130" s="141"/>
      <c r="D130" s="141"/>
      <c r="E130" s="114"/>
      <c r="F130" s="141"/>
      <c r="G130" s="44"/>
      <c r="H130" s="51">
        <v>8333</v>
      </c>
      <c r="I130" s="41"/>
      <c r="J130" s="46"/>
      <c r="K130" s="47"/>
      <c r="L130" s="39">
        <f t="shared" si="6"/>
        <v>0</v>
      </c>
      <c r="M130" s="51">
        <f t="shared" si="7"/>
        <v>8333</v>
      </c>
      <c r="N130" s="41">
        <f t="shared" si="8"/>
        <v>0</v>
      </c>
      <c r="O130" s="46">
        <f t="shared" si="9"/>
        <v>0</v>
      </c>
      <c r="P130" s="47">
        <f t="shared" si="10"/>
        <v>0</v>
      </c>
      <c r="S130" s="44"/>
      <c r="T130" s="51" t="s">
        <v>112</v>
      </c>
      <c r="U130" s="41"/>
      <c r="V130" s="46"/>
      <c r="W130" s="47"/>
    </row>
    <row r="131" spans="1:23" ht="20.399999999999999" x14ac:dyDescent="0.25">
      <c r="A131" s="131"/>
      <c r="B131" s="144"/>
      <c r="C131" s="141"/>
      <c r="D131" s="141"/>
      <c r="E131" s="114"/>
      <c r="F131" s="141"/>
      <c r="G131" s="44"/>
      <c r="H131" s="51">
        <v>8333</v>
      </c>
      <c r="I131" s="41"/>
      <c r="J131" s="46"/>
      <c r="K131" s="47"/>
      <c r="L131" s="39">
        <f t="shared" ref="L131:L179" si="11">IF(OR(G131="NA", G131=0),0,(1*G131))</f>
        <v>0</v>
      </c>
      <c r="M131" s="51">
        <f t="shared" ref="M131:M179" si="12">IF(OR(H131="NA", H131=0),0,(1*H131))</f>
        <v>8333</v>
      </c>
      <c r="N131" s="41">
        <f t="shared" ref="N131:N179" si="13">IF(OR(I131="NA", I131=0),0,(1*I131))</f>
        <v>0</v>
      </c>
      <c r="O131" s="46">
        <f t="shared" ref="O131:O179" si="14">IF(OR(J131="NA", J131=0),0,(1*J131))</f>
        <v>0</v>
      </c>
      <c r="P131" s="47">
        <f t="shared" ref="P131:P179" si="15">IF(OR(K131="NA", K131=0),0,(1*K131))</f>
        <v>0</v>
      </c>
      <c r="S131" s="44"/>
      <c r="T131" s="51" t="s">
        <v>112</v>
      </c>
      <c r="U131" s="41"/>
      <c r="V131" s="46"/>
      <c r="W131" s="47"/>
    </row>
    <row r="132" spans="1:23" ht="20.399999999999999" x14ac:dyDescent="0.25">
      <c r="A132" s="131"/>
      <c r="B132" s="144"/>
      <c r="C132" s="141"/>
      <c r="D132" s="141"/>
      <c r="E132" s="114"/>
      <c r="F132" s="141"/>
      <c r="G132" s="44"/>
      <c r="H132" s="51">
        <v>8333</v>
      </c>
      <c r="I132" s="41"/>
      <c r="J132" s="46"/>
      <c r="K132" s="47"/>
      <c r="L132" s="39">
        <f t="shared" si="11"/>
        <v>0</v>
      </c>
      <c r="M132" s="51">
        <f t="shared" si="12"/>
        <v>8333</v>
      </c>
      <c r="N132" s="41">
        <f t="shared" si="13"/>
        <v>0</v>
      </c>
      <c r="O132" s="46">
        <f t="shared" si="14"/>
        <v>0</v>
      </c>
      <c r="P132" s="47">
        <f t="shared" si="15"/>
        <v>0</v>
      </c>
      <c r="S132" s="44"/>
      <c r="T132" s="51" t="s">
        <v>112</v>
      </c>
      <c r="U132" s="41"/>
      <c r="V132" s="46"/>
      <c r="W132" s="47"/>
    </row>
    <row r="133" spans="1:23" ht="20.399999999999999" x14ac:dyDescent="0.25">
      <c r="A133" s="131"/>
      <c r="B133" s="144"/>
      <c r="C133" s="141"/>
      <c r="D133" s="141"/>
      <c r="E133" s="114"/>
      <c r="F133" s="141"/>
      <c r="G133" s="44"/>
      <c r="H133" s="51">
        <v>8333</v>
      </c>
      <c r="I133" s="41"/>
      <c r="J133" s="46"/>
      <c r="K133" s="47"/>
      <c r="L133" s="39">
        <f t="shared" si="11"/>
        <v>0</v>
      </c>
      <c r="M133" s="51">
        <f t="shared" si="12"/>
        <v>8333</v>
      </c>
      <c r="N133" s="41">
        <f t="shared" si="13"/>
        <v>0</v>
      </c>
      <c r="O133" s="46">
        <f t="shared" si="14"/>
        <v>0</v>
      </c>
      <c r="P133" s="47">
        <f t="shared" si="15"/>
        <v>0</v>
      </c>
      <c r="S133" s="44"/>
      <c r="T133" s="51" t="s">
        <v>112</v>
      </c>
      <c r="U133" s="41"/>
      <c r="V133" s="46"/>
      <c r="W133" s="47"/>
    </row>
    <row r="134" spans="1:23" ht="20.399999999999999" x14ac:dyDescent="0.25">
      <c r="A134" s="131"/>
      <c r="B134" s="144"/>
      <c r="C134" s="141"/>
      <c r="D134" s="141"/>
      <c r="E134" s="114"/>
      <c r="F134" s="141"/>
      <c r="G134" s="44"/>
      <c r="H134" s="51">
        <v>8333</v>
      </c>
      <c r="I134" s="41"/>
      <c r="J134" s="46"/>
      <c r="K134" s="47"/>
      <c r="L134" s="39">
        <f t="shared" si="11"/>
        <v>0</v>
      </c>
      <c r="M134" s="51">
        <f t="shared" si="12"/>
        <v>8333</v>
      </c>
      <c r="N134" s="41">
        <f t="shared" si="13"/>
        <v>0</v>
      </c>
      <c r="O134" s="46">
        <f t="shared" si="14"/>
        <v>0</v>
      </c>
      <c r="P134" s="47">
        <f t="shared" si="15"/>
        <v>0</v>
      </c>
      <c r="S134" s="44"/>
      <c r="T134" s="51" t="s">
        <v>112</v>
      </c>
      <c r="U134" s="41"/>
      <c r="V134" s="46"/>
      <c r="W134" s="47"/>
    </row>
    <row r="135" spans="1:23" ht="20.399999999999999" x14ac:dyDescent="0.25">
      <c r="A135" s="131"/>
      <c r="B135" s="144"/>
      <c r="C135" s="141"/>
      <c r="D135" s="141"/>
      <c r="E135" s="114"/>
      <c r="F135" s="141"/>
      <c r="G135" s="44"/>
      <c r="H135" s="51">
        <v>8333</v>
      </c>
      <c r="I135" s="41"/>
      <c r="J135" s="46"/>
      <c r="K135" s="47"/>
      <c r="L135" s="39">
        <f t="shared" si="11"/>
        <v>0</v>
      </c>
      <c r="M135" s="51">
        <f t="shared" si="12"/>
        <v>8333</v>
      </c>
      <c r="N135" s="41">
        <f t="shared" si="13"/>
        <v>0</v>
      </c>
      <c r="O135" s="46">
        <f t="shared" si="14"/>
        <v>0</v>
      </c>
      <c r="P135" s="47">
        <f t="shared" si="15"/>
        <v>0</v>
      </c>
      <c r="S135" s="44"/>
      <c r="T135" s="51" t="s">
        <v>112</v>
      </c>
      <c r="U135" s="41"/>
      <c r="V135" s="46"/>
      <c r="W135" s="47"/>
    </row>
    <row r="136" spans="1:23" ht="20.399999999999999" x14ac:dyDescent="0.25">
      <c r="A136" s="131"/>
      <c r="B136" s="144"/>
      <c r="C136" s="141"/>
      <c r="D136" s="141"/>
      <c r="E136" s="114"/>
      <c r="F136" s="141"/>
      <c r="G136" s="44"/>
      <c r="H136" s="51">
        <v>8333</v>
      </c>
      <c r="I136" s="41"/>
      <c r="J136" s="46"/>
      <c r="K136" s="47"/>
      <c r="L136" s="39">
        <f t="shared" si="11"/>
        <v>0</v>
      </c>
      <c r="M136" s="51">
        <f t="shared" si="12"/>
        <v>8333</v>
      </c>
      <c r="N136" s="41">
        <f t="shared" si="13"/>
        <v>0</v>
      </c>
      <c r="O136" s="46">
        <f t="shared" si="14"/>
        <v>0</v>
      </c>
      <c r="P136" s="47">
        <f t="shared" si="15"/>
        <v>0</v>
      </c>
      <c r="S136" s="44"/>
      <c r="T136" s="51" t="s">
        <v>112</v>
      </c>
      <c r="U136" s="41"/>
      <c r="V136" s="46"/>
      <c r="W136" s="47"/>
    </row>
    <row r="137" spans="1:23" ht="20.399999999999999" x14ac:dyDescent="0.25">
      <c r="A137" s="131"/>
      <c r="B137" s="144"/>
      <c r="C137" s="141"/>
      <c r="D137" s="141"/>
      <c r="E137" s="114"/>
      <c r="F137" s="141"/>
      <c r="G137" s="44"/>
      <c r="H137" s="51">
        <v>8333</v>
      </c>
      <c r="I137" s="41"/>
      <c r="J137" s="46"/>
      <c r="K137" s="47"/>
      <c r="L137" s="39">
        <f t="shared" si="11"/>
        <v>0</v>
      </c>
      <c r="M137" s="51">
        <f t="shared" si="12"/>
        <v>8333</v>
      </c>
      <c r="N137" s="41">
        <f t="shared" si="13"/>
        <v>0</v>
      </c>
      <c r="O137" s="46">
        <f t="shared" si="14"/>
        <v>0</v>
      </c>
      <c r="P137" s="47">
        <f t="shared" si="15"/>
        <v>0</v>
      </c>
      <c r="S137" s="44"/>
      <c r="T137" s="51" t="s">
        <v>112</v>
      </c>
      <c r="U137" s="41"/>
      <c r="V137" s="46"/>
      <c r="W137" s="47"/>
    </row>
    <row r="138" spans="1:23" ht="20.399999999999999" x14ac:dyDescent="0.25">
      <c r="A138" s="131"/>
      <c r="B138" s="144"/>
      <c r="C138" s="141"/>
      <c r="D138" s="141"/>
      <c r="E138" s="114"/>
      <c r="F138" s="141"/>
      <c r="G138" s="44"/>
      <c r="H138" s="51">
        <v>8333</v>
      </c>
      <c r="I138" s="41"/>
      <c r="J138" s="46"/>
      <c r="K138" s="47"/>
      <c r="L138" s="39">
        <f t="shared" si="11"/>
        <v>0</v>
      </c>
      <c r="M138" s="51">
        <f t="shared" si="12"/>
        <v>8333</v>
      </c>
      <c r="N138" s="41">
        <f t="shared" si="13"/>
        <v>0</v>
      </c>
      <c r="O138" s="46">
        <f t="shared" si="14"/>
        <v>0</v>
      </c>
      <c r="P138" s="47">
        <f t="shared" si="15"/>
        <v>0</v>
      </c>
      <c r="S138" s="44"/>
      <c r="T138" s="51" t="s">
        <v>112</v>
      </c>
      <c r="U138" s="41"/>
      <c r="V138" s="46"/>
      <c r="W138" s="47"/>
    </row>
    <row r="139" spans="1:23" ht="20.399999999999999" x14ac:dyDescent="0.25">
      <c r="A139" s="131"/>
      <c r="B139" s="144"/>
      <c r="C139" s="141"/>
      <c r="D139" s="141"/>
      <c r="E139" s="114"/>
      <c r="F139" s="141"/>
      <c r="G139" s="44"/>
      <c r="H139" s="51">
        <v>8333</v>
      </c>
      <c r="I139" s="41"/>
      <c r="J139" s="46"/>
      <c r="K139" s="47"/>
      <c r="L139" s="39">
        <f t="shared" si="11"/>
        <v>0</v>
      </c>
      <c r="M139" s="51">
        <f t="shared" si="12"/>
        <v>8333</v>
      </c>
      <c r="N139" s="41">
        <f t="shared" si="13"/>
        <v>0</v>
      </c>
      <c r="O139" s="46">
        <f t="shared" si="14"/>
        <v>0</v>
      </c>
      <c r="P139" s="47">
        <f t="shared" si="15"/>
        <v>0</v>
      </c>
      <c r="S139" s="44"/>
      <c r="T139" s="51" t="s">
        <v>112</v>
      </c>
      <c r="U139" s="41"/>
      <c r="V139" s="46"/>
      <c r="W139" s="47"/>
    </row>
    <row r="140" spans="1:23" ht="20.399999999999999" x14ac:dyDescent="0.25">
      <c r="A140" s="131"/>
      <c r="B140" s="144"/>
      <c r="C140" s="141"/>
      <c r="D140" s="141"/>
      <c r="E140" s="114"/>
      <c r="F140" s="141"/>
      <c r="G140" s="44"/>
      <c r="H140" s="51">
        <v>8333</v>
      </c>
      <c r="I140" s="41"/>
      <c r="J140" s="46"/>
      <c r="K140" s="47"/>
      <c r="L140" s="39">
        <f t="shared" si="11"/>
        <v>0</v>
      </c>
      <c r="M140" s="51">
        <f t="shared" si="12"/>
        <v>8333</v>
      </c>
      <c r="N140" s="41">
        <f t="shared" si="13"/>
        <v>0</v>
      </c>
      <c r="O140" s="46">
        <f t="shared" si="14"/>
        <v>0</v>
      </c>
      <c r="P140" s="47">
        <f t="shared" si="15"/>
        <v>0</v>
      </c>
      <c r="S140" s="44"/>
      <c r="T140" s="51" t="s">
        <v>112</v>
      </c>
      <c r="U140" s="41"/>
      <c r="V140" s="46"/>
      <c r="W140" s="47"/>
    </row>
    <row r="141" spans="1:23" ht="20.399999999999999" x14ac:dyDescent="0.25">
      <c r="A141" s="131"/>
      <c r="B141" s="144"/>
      <c r="C141" s="141"/>
      <c r="D141" s="141"/>
      <c r="E141" s="114"/>
      <c r="F141" s="141"/>
      <c r="G141" s="44"/>
      <c r="H141" s="51">
        <v>8333</v>
      </c>
      <c r="I141" s="41"/>
      <c r="J141" s="46"/>
      <c r="K141" s="47"/>
      <c r="L141" s="39">
        <f t="shared" si="11"/>
        <v>0</v>
      </c>
      <c r="M141" s="51">
        <f t="shared" si="12"/>
        <v>8333</v>
      </c>
      <c r="N141" s="41">
        <f t="shared" si="13"/>
        <v>0</v>
      </c>
      <c r="O141" s="46">
        <f t="shared" si="14"/>
        <v>0</v>
      </c>
      <c r="P141" s="47">
        <f t="shared" si="15"/>
        <v>0</v>
      </c>
      <c r="S141" s="44"/>
      <c r="T141" s="51" t="s">
        <v>112</v>
      </c>
      <c r="U141" s="41"/>
      <c r="V141" s="46"/>
      <c r="W141" s="47"/>
    </row>
    <row r="142" spans="1:23" ht="20.399999999999999" x14ac:dyDescent="0.25">
      <c r="A142" s="131"/>
      <c r="B142" s="144"/>
      <c r="C142" s="141"/>
      <c r="D142" s="141"/>
      <c r="E142" s="114"/>
      <c r="F142" s="141"/>
      <c r="G142" s="44"/>
      <c r="H142" s="51">
        <v>8333</v>
      </c>
      <c r="I142" s="41"/>
      <c r="J142" s="46"/>
      <c r="K142" s="47"/>
      <c r="L142" s="39">
        <f t="shared" si="11"/>
        <v>0</v>
      </c>
      <c r="M142" s="51">
        <f t="shared" si="12"/>
        <v>8333</v>
      </c>
      <c r="N142" s="41">
        <f t="shared" si="13"/>
        <v>0</v>
      </c>
      <c r="O142" s="46">
        <f t="shared" si="14"/>
        <v>0</v>
      </c>
      <c r="P142" s="47">
        <f t="shared" si="15"/>
        <v>0</v>
      </c>
      <c r="S142" s="44"/>
      <c r="T142" s="51" t="s">
        <v>112</v>
      </c>
      <c r="U142" s="41"/>
      <c r="V142" s="46"/>
      <c r="W142" s="47"/>
    </row>
    <row r="143" spans="1:23" ht="20.399999999999999" x14ac:dyDescent="0.25">
      <c r="A143" s="131"/>
      <c r="B143" s="144"/>
      <c r="C143" s="141"/>
      <c r="D143" s="141"/>
      <c r="E143" s="114"/>
      <c r="F143" s="141"/>
      <c r="G143" s="44"/>
      <c r="H143" s="51">
        <v>8333</v>
      </c>
      <c r="I143" s="41"/>
      <c r="J143" s="46"/>
      <c r="K143" s="47"/>
      <c r="L143" s="39">
        <f t="shared" si="11"/>
        <v>0</v>
      </c>
      <c r="M143" s="51">
        <f t="shared" si="12"/>
        <v>8333</v>
      </c>
      <c r="N143" s="41">
        <f t="shared" si="13"/>
        <v>0</v>
      </c>
      <c r="O143" s="46">
        <f t="shared" si="14"/>
        <v>0</v>
      </c>
      <c r="P143" s="47">
        <f t="shared" si="15"/>
        <v>0</v>
      </c>
      <c r="S143" s="44"/>
      <c r="T143" s="51" t="s">
        <v>112</v>
      </c>
      <c r="U143" s="41"/>
      <c r="V143" s="46"/>
      <c r="W143" s="47"/>
    </row>
    <row r="144" spans="1:23" ht="20.399999999999999" x14ac:dyDescent="0.25">
      <c r="A144" s="131"/>
      <c r="B144" s="144"/>
      <c r="C144" s="141"/>
      <c r="D144" s="141"/>
      <c r="E144" s="114"/>
      <c r="F144" s="141"/>
      <c r="G144" s="44"/>
      <c r="H144" s="51">
        <v>8333</v>
      </c>
      <c r="I144" s="41"/>
      <c r="J144" s="46"/>
      <c r="K144" s="47"/>
      <c r="L144" s="39">
        <f t="shared" si="11"/>
        <v>0</v>
      </c>
      <c r="M144" s="51">
        <f t="shared" si="12"/>
        <v>8333</v>
      </c>
      <c r="N144" s="41">
        <f t="shared" si="13"/>
        <v>0</v>
      </c>
      <c r="O144" s="46">
        <f t="shared" si="14"/>
        <v>0</v>
      </c>
      <c r="P144" s="47">
        <f t="shared" si="15"/>
        <v>0</v>
      </c>
      <c r="S144" s="44"/>
      <c r="T144" s="51" t="s">
        <v>112</v>
      </c>
      <c r="U144" s="41"/>
      <c r="V144" s="46"/>
      <c r="W144" s="47"/>
    </row>
    <row r="145" spans="1:23" ht="20.399999999999999" x14ac:dyDescent="0.25">
      <c r="A145" s="131"/>
      <c r="B145" s="144"/>
      <c r="C145" s="141"/>
      <c r="D145" s="141"/>
      <c r="E145" s="114"/>
      <c r="F145" s="141"/>
      <c r="G145" s="44"/>
      <c r="H145" s="51">
        <v>8333</v>
      </c>
      <c r="I145" s="41"/>
      <c r="J145" s="46"/>
      <c r="K145" s="47"/>
      <c r="L145" s="39">
        <f t="shared" si="11"/>
        <v>0</v>
      </c>
      <c r="M145" s="51">
        <f t="shared" si="12"/>
        <v>8333</v>
      </c>
      <c r="N145" s="41">
        <f t="shared" si="13"/>
        <v>0</v>
      </c>
      <c r="O145" s="46">
        <f t="shared" si="14"/>
        <v>0</v>
      </c>
      <c r="P145" s="47">
        <f t="shared" si="15"/>
        <v>0</v>
      </c>
      <c r="S145" s="44"/>
      <c r="T145" s="51" t="s">
        <v>113</v>
      </c>
      <c r="U145" s="41"/>
      <c r="V145" s="46"/>
      <c r="W145" s="47"/>
    </row>
    <row r="146" spans="1:23" ht="20.399999999999999" x14ac:dyDescent="0.25">
      <c r="A146" s="131"/>
      <c r="B146" s="144"/>
      <c r="C146" s="141"/>
      <c r="D146" s="141"/>
      <c r="E146" s="114"/>
      <c r="F146" s="141"/>
      <c r="G146" s="44"/>
      <c r="H146" s="51">
        <v>8333</v>
      </c>
      <c r="I146" s="41"/>
      <c r="J146" s="46"/>
      <c r="K146" s="47"/>
      <c r="L146" s="39">
        <f t="shared" si="11"/>
        <v>0</v>
      </c>
      <c r="M146" s="51">
        <f t="shared" si="12"/>
        <v>8333</v>
      </c>
      <c r="N146" s="41">
        <f t="shared" si="13"/>
        <v>0</v>
      </c>
      <c r="O146" s="46">
        <f t="shared" si="14"/>
        <v>0</v>
      </c>
      <c r="P146" s="47">
        <f t="shared" si="15"/>
        <v>0</v>
      </c>
      <c r="S146" s="44"/>
      <c r="T146" s="51" t="s">
        <v>113</v>
      </c>
      <c r="U146" s="41"/>
      <c r="V146" s="46"/>
      <c r="W146" s="47"/>
    </row>
    <row r="147" spans="1:23" ht="20.399999999999999" x14ac:dyDescent="0.25">
      <c r="A147" s="131"/>
      <c r="B147" s="144"/>
      <c r="C147" s="141"/>
      <c r="D147" s="141"/>
      <c r="E147" s="114"/>
      <c r="F147" s="141"/>
      <c r="G147" s="44"/>
      <c r="H147" s="51">
        <v>8333</v>
      </c>
      <c r="I147" s="41"/>
      <c r="J147" s="46"/>
      <c r="K147" s="47"/>
      <c r="L147" s="39">
        <f t="shared" si="11"/>
        <v>0</v>
      </c>
      <c r="M147" s="51">
        <f t="shared" si="12"/>
        <v>8333</v>
      </c>
      <c r="N147" s="41">
        <f t="shared" si="13"/>
        <v>0</v>
      </c>
      <c r="O147" s="46">
        <f t="shared" si="14"/>
        <v>0</v>
      </c>
      <c r="P147" s="47">
        <f t="shared" si="15"/>
        <v>0</v>
      </c>
      <c r="S147" s="44"/>
      <c r="T147" s="51" t="s">
        <v>113</v>
      </c>
      <c r="U147" s="41"/>
      <c r="V147" s="46"/>
      <c r="W147" s="47"/>
    </row>
    <row r="148" spans="1:23" ht="20.399999999999999" x14ac:dyDescent="0.25">
      <c r="A148" s="131"/>
      <c r="B148" s="144"/>
      <c r="C148" s="141"/>
      <c r="D148" s="141"/>
      <c r="E148" s="114"/>
      <c r="F148" s="141"/>
      <c r="G148" s="44"/>
      <c r="H148" s="51">
        <v>8333</v>
      </c>
      <c r="I148" s="41"/>
      <c r="J148" s="46"/>
      <c r="K148" s="47"/>
      <c r="L148" s="39">
        <f t="shared" si="11"/>
        <v>0</v>
      </c>
      <c r="M148" s="51">
        <f t="shared" si="12"/>
        <v>8333</v>
      </c>
      <c r="N148" s="41">
        <f t="shared" si="13"/>
        <v>0</v>
      </c>
      <c r="O148" s="46">
        <f t="shared" si="14"/>
        <v>0</v>
      </c>
      <c r="P148" s="47">
        <f t="shared" si="15"/>
        <v>0</v>
      </c>
      <c r="S148" s="44"/>
      <c r="T148" s="51" t="s">
        <v>113</v>
      </c>
      <c r="U148" s="41"/>
      <c r="V148" s="46"/>
      <c r="W148" s="47"/>
    </row>
    <row r="149" spans="1:23" ht="20.399999999999999" x14ac:dyDescent="0.25">
      <c r="A149" s="131"/>
      <c r="B149" s="144"/>
      <c r="C149" s="141"/>
      <c r="D149" s="141"/>
      <c r="E149" s="114"/>
      <c r="F149" s="141"/>
      <c r="G149" s="44"/>
      <c r="H149" s="51">
        <v>8333</v>
      </c>
      <c r="I149" s="41"/>
      <c r="J149" s="46"/>
      <c r="K149" s="47"/>
      <c r="L149" s="39">
        <f t="shared" si="11"/>
        <v>0</v>
      </c>
      <c r="M149" s="51">
        <f t="shared" si="12"/>
        <v>8333</v>
      </c>
      <c r="N149" s="41">
        <f t="shared" si="13"/>
        <v>0</v>
      </c>
      <c r="O149" s="46">
        <f t="shared" si="14"/>
        <v>0</v>
      </c>
      <c r="P149" s="47">
        <f t="shared" si="15"/>
        <v>0</v>
      </c>
      <c r="S149" s="44"/>
      <c r="T149" s="51" t="s">
        <v>113</v>
      </c>
      <c r="U149" s="41"/>
      <c r="V149" s="46"/>
      <c r="W149" s="47"/>
    </row>
    <row r="150" spans="1:23" ht="20.399999999999999" x14ac:dyDescent="0.25">
      <c r="A150" s="131"/>
      <c r="B150" s="144"/>
      <c r="C150" s="141"/>
      <c r="D150" s="141"/>
      <c r="E150" s="114"/>
      <c r="F150" s="142"/>
      <c r="G150" s="44"/>
      <c r="H150" s="51">
        <v>8333</v>
      </c>
      <c r="I150" s="41"/>
      <c r="J150" s="46"/>
      <c r="K150" s="47"/>
      <c r="L150" s="39">
        <f t="shared" si="11"/>
        <v>0</v>
      </c>
      <c r="M150" s="51">
        <f t="shared" si="12"/>
        <v>8333</v>
      </c>
      <c r="N150" s="41">
        <f t="shared" si="13"/>
        <v>0</v>
      </c>
      <c r="O150" s="46">
        <f t="shared" si="14"/>
        <v>0</v>
      </c>
      <c r="P150" s="47">
        <f t="shared" si="15"/>
        <v>0</v>
      </c>
      <c r="S150" s="44"/>
      <c r="T150" s="51" t="s">
        <v>113</v>
      </c>
      <c r="U150" s="41"/>
      <c r="V150" s="46"/>
      <c r="W150" s="47"/>
    </row>
    <row r="151" spans="1:23" ht="20.399999999999999" x14ac:dyDescent="0.25">
      <c r="A151" s="131"/>
      <c r="B151" s="144"/>
      <c r="C151" s="141"/>
      <c r="D151" s="141"/>
      <c r="E151" s="140" t="s">
        <v>17</v>
      </c>
      <c r="F151" s="140" t="s">
        <v>24</v>
      </c>
      <c r="G151" s="39">
        <v>16610.68</v>
      </c>
      <c r="H151" s="51">
        <v>8333</v>
      </c>
      <c r="I151" s="41"/>
      <c r="J151" s="42">
        <v>26491.61</v>
      </c>
      <c r="K151" s="43">
        <v>18592.98</v>
      </c>
      <c r="L151" s="39">
        <f t="shared" si="11"/>
        <v>16610.68</v>
      </c>
      <c r="M151" s="51">
        <f t="shared" si="12"/>
        <v>8333</v>
      </c>
      <c r="N151" s="41">
        <f t="shared" si="13"/>
        <v>0</v>
      </c>
      <c r="O151" s="42">
        <f t="shared" si="14"/>
        <v>26491.61</v>
      </c>
      <c r="P151" s="43">
        <f t="shared" si="15"/>
        <v>18592.98</v>
      </c>
      <c r="S151" s="39">
        <v>16610.68</v>
      </c>
      <c r="T151" s="51" t="s">
        <v>111</v>
      </c>
      <c r="U151" s="41"/>
      <c r="V151" s="42">
        <v>26491.61</v>
      </c>
      <c r="W151" s="43">
        <v>18592.98</v>
      </c>
    </row>
    <row r="152" spans="1:23" ht="20.399999999999999" x14ac:dyDescent="0.25">
      <c r="A152" s="131"/>
      <c r="B152" s="144"/>
      <c r="C152" s="141"/>
      <c r="D152" s="141"/>
      <c r="E152" s="141"/>
      <c r="F152" s="141"/>
      <c r="G152" s="44"/>
      <c r="H152" s="51">
        <v>8333</v>
      </c>
      <c r="I152" s="41"/>
      <c r="J152" s="46"/>
      <c r="K152" s="47"/>
      <c r="L152" s="39">
        <f t="shared" si="11"/>
        <v>0</v>
      </c>
      <c r="M152" s="51">
        <f t="shared" si="12"/>
        <v>8333</v>
      </c>
      <c r="N152" s="41">
        <f t="shared" si="13"/>
        <v>0</v>
      </c>
      <c r="O152" s="46">
        <f t="shared" si="14"/>
        <v>0</v>
      </c>
      <c r="P152" s="47">
        <f t="shared" si="15"/>
        <v>0</v>
      </c>
      <c r="S152" s="44"/>
      <c r="T152" s="51" t="s">
        <v>111</v>
      </c>
      <c r="U152" s="41"/>
      <c r="V152" s="46"/>
      <c r="W152" s="47"/>
    </row>
    <row r="153" spans="1:23" ht="20.399999999999999" x14ac:dyDescent="0.25">
      <c r="A153" s="131"/>
      <c r="B153" s="144"/>
      <c r="C153" s="141"/>
      <c r="D153" s="141"/>
      <c r="E153" s="141"/>
      <c r="F153" s="141"/>
      <c r="G153" s="44"/>
      <c r="H153" s="51">
        <v>8333</v>
      </c>
      <c r="I153" s="41"/>
      <c r="J153" s="46"/>
      <c r="K153" s="47"/>
      <c r="L153" s="39">
        <f t="shared" si="11"/>
        <v>0</v>
      </c>
      <c r="M153" s="51">
        <f t="shared" si="12"/>
        <v>8333</v>
      </c>
      <c r="N153" s="41">
        <f t="shared" si="13"/>
        <v>0</v>
      </c>
      <c r="O153" s="46">
        <f t="shared" si="14"/>
        <v>0</v>
      </c>
      <c r="P153" s="47">
        <f t="shared" si="15"/>
        <v>0</v>
      </c>
      <c r="S153" s="44"/>
      <c r="T153" s="51" t="s">
        <v>111</v>
      </c>
      <c r="U153" s="41"/>
      <c r="V153" s="46"/>
      <c r="W153" s="47"/>
    </row>
    <row r="154" spans="1:23" ht="20.399999999999999" x14ac:dyDescent="0.25">
      <c r="A154" s="131"/>
      <c r="B154" s="144"/>
      <c r="C154" s="141"/>
      <c r="D154" s="141"/>
      <c r="E154" s="141"/>
      <c r="F154" s="141"/>
      <c r="G154" s="44"/>
      <c r="H154" s="51">
        <v>8333</v>
      </c>
      <c r="I154" s="41"/>
      <c r="J154" s="46"/>
      <c r="K154" s="47"/>
      <c r="L154" s="39">
        <f t="shared" si="11"/>
        <v>0</v>
      </c>
      <c r="M154" s="51">
        <f t="shared" si="12"/>
        <v>8333</v>
      </c>
      <c r="N154" s="41">
        <f t="shared" si="13"/>
        <v>0</v>
      </c>
      <c r="O154" s="46">
        <f t="shared" si="14"/>
        <v>0</v>
      </c>
      <c r="P154" s="47">
        <f t="shared" si="15"/>
        <v>0</v>
      </c>
      <c r="S154" s="44"/>
      <c r="T154" s="51" t="s">
        <v>111</v>
      </c>
      <c r="U154" s="41"/>
      <c r="V154" s="46"/>
      <c r="W154" s="47"/>
    </row>
    <row r="155" spans="1:23" ht="20.399999999999999" x14ac:dyDescent="0.25">
      <c r="A155" s="131"/>
      <c r="B155" s="144"/>
      <c r="C155" s="141"/>
      <c r="D155" s="141"/>
      <c r="E155" s="141"/>
      <c r="F155" s="141"/>
      <c r="G155" s="44"/>
      <c r="H155" s="51">
        <v>8333</v>
      </c>
      <c r="I155" s="41"/>
      <c r="J155" s="46"/>
      <c r="K155" s="47"/>
      <c r="L155" s="39">
        <f t="shared" si="11"/>
        <v>0</v>
      </c>
      <c r="M155" s="51">
        <f t="shared" si="12"/>
        <v>8333</v>
      </c>
      <c r="N155" s="41">
        <f t="shared" si="13"/>
        <v>0</v>
      </c>
      <c r="O155" s="46">
        <f t="shared" si="14"/>
        <v>0</v>
      </c>
      <c r="P155" s="47">
        <f t="shared" si="15"/>
        <v>0</v>
      </c>
      <c r="S155" s="44"/>
      <c r="T155" s="51" t="s">
        <v>111</v>
      </c>
      <c r="U155" s="41"/>
      <c r="V155" s="46"/>
      <c r="W155" s="47"/>
    </row>
    <row r="156" spans="1:23" ht="20.399999999999999" x14ac:dyDescent="0.25">
      <c r="A156" s="131"/>
      <c r="B156" s="144"/>
      <c r="C156" s="141"/>
      <c r="D156" s="141"/>
      <c r="E156" s="141"/>
      <c r="F156" s="141"/>
      <c r="G156" s="44"/>
      <c r="H156" s="51">
        <v>8333</v>
      </c>
      <c r="I156" s="41"/>
      <c r="J156" s="46"/>
      <c r="K156" s="47"/>
      <c r="L156" s="39">
        <f t="shared" si="11"/>
        <v>0</v>
      </c>
      <c r="M156" s="51">
        <f t="shared" si="12"/>
        <v>8333</v>
      </c>
      <c r="N156" s="41">
        <f t="shared" si="13"/>
        <v>0</v>
      </c>
      <c r="O156" s="46">
        <f t="shared" si="14"/>
        <v>0</v>
      </c>
      <c r="P156" s="47">
        <f t="shared" si="15"/>
        <v>0</v>
      </c>
      <c r="S156" s="44"/>
      <c r="T156" s="51" t="s">
        <v>111</v>
      </c>
      <c r="U156" s="41"/>
      <c r="V156" s="46"/>
      <c r="W156" s="47"/>
    </row>
    <row r="157" spans="1:23" ht="20.399999999999999" x14ac:dyDescent="0.25">
      <c r="A157" s="131"/>
      <c r="B157" s="144"/>
      <c r="C157" s="141"/>
      <c r="D157" s="141"/>
      <c r="E157" s="141"/>
      <c r="F157" s="141"/>
      <c r="G157" s="44"/>
      <c r="H157" s="51">
        <v>8333</v>
      </c>
      <c r="I157" s="41"/>
      <c r="J157" s="46"/>
      <c r="K157" s="47"/>
      <c r="L157" s="39">
        <f t="shared" si="11"/>
        <v>0</v>
      </c>
      <c r="M157" s="51">
        <f t="shared" si="12"/>
        <v>8333</v>
      </c>
      <c r="N157" s="41">
        <f t="shared" si="13"/>
        <v>0</v>
      </c>
      <c r="O157" s="46">
        <f t="shared" si="14"/>
        <v>0</v>
      </c>
      <c r="P157" s="47">
        <f t="shared" si="15"/>
        <v>0</v>
      </c>
      <c r="S157" s="44"/>
      <c r="T157" s="51" t="s">
        <v>112</v>
      </c>
      <c r="U157" s="41"/>
      <c r="V157" s="46"/>
      <c r="W157" s="47"/>
    </row>
    <row r="158" spans="1:23" ht="20.399999999999999" x14ac:dyDescent="0.25">
      <c r="A158" s="131"/>
      <c r="B158" s="144"/>
      <c r="C158" s="141"/>
      <c r="D158" s="141"/>
      <c r="E158" s="141"/>
      <c r="F158" s="141"/>
      <c r="G158" s="44"/>
      <c r="H158" s="51">
        <v>8333</v>
      </c>
      <c r="I158" s="41"/>
      <c r="J158" s="46"/>
      <c r="K158" s="47"/>
      <c r="L158" s="39">
        <f t="shared" si="11"/>
        <v>0</v>
      </c>
      <c r="M158" s="51">
        <f t="shared" si="12"/>
        <v>8333</v>
      </c>
      <c r="N158" s="41">
        <f t="shared" si="13"/>
        <v>0</v>
      </c>
      <c r="O158" s="46">
        <f t="shared" si="14"/>
        <v>0</v>
      </c>
      <c r="P158" s="47">
        <f t="shared" si="15"/>
        <v>0</v>
      </c>
      <c r="S158" s="44"/>
      <c r="T158" s="51" t="s">
        <v>112</v>
      </c>
      <c r="U158" s="41"/>
      <c r="V158" s="46"/>
      <c r="W158" s="47"/>
    </row>
    <row r="159" spans="1:23" ht="20.399999999999999" x14ac:dyDescent="0.25">
      <c r="A159" s="131"/>
      <c r="B159" s="144"/>
      <c r="C159" s="141"/>
      <c r="D159" s="141"/>
      <c r="E159" s="141"/>
      <c r="F159" s="141"/>
      <c r="G159" s="44"/>
      <c r="H159" s="51">
        <v>8333</v>
      </c>
      <c r="I159" s="41"/>
      <c r="J159" s="46"/>
      <c r="K159" s="47"/>
      <c r="L159" s="39">
        <f t="shared" si="11"/>
        <v>0</v>
      </c>
      <c r="M159" s="51">
        <f t="shared" si="12"/>
        <v>8333</v>
      </c>
      <c r="N159" s="41">
        <f t="shared" si="13"/>
        <v>0</v>
      </c>
      <c r="O159" s="46">
        <f t="shared" si="14"/>
        <v>0</v>
      </c>
      <c r="P159" s="47">
        <f t="shared" si="15"/>
        <v>0</v>
      </c>
      <c r="S159" s="44"/>
      <c r="T159" s="51" t="s">
        <v>112</v>
      </c>
      <c r="U159" s="41"/>
      <c r="V159" s="46"/>
      <c r="W159" s="47"/>
    </row>
    <row r="160" spans="1:23" ht="20.399999999999999" x14ac:dyDescent="0.25">
      <c r="A160" s="131"/>
      <c r="B160" s="144"/>
      <c r="C160" s="141"/>
      <c r="D160" s="141"/>
      <c r="E160" s="141"/>
      <c r="F160" s="141"/>
      <c r="G160" s="44"/>
      <c r="H160" s="51">
        <v>8333</v>
      </c>
      <c r="I160" s="41"/>
      <c r="J160" s="46"/>
      <c r="K160" s="47"/>
      <c r="L160" s="39">
        <f t="shared" si="11"/>
        <v>0</v>
      </c>
      <c r="M160" s="51">
        <f t="shared" si="12"/>
        <v>8333</v>
      </c>
      <c r="N160" s="41">
        <f t="shared" si="13"/>
        <v>0</v>
      </c>
      <c r="O160" s="46">
        <f t="shared" si="14"/>
        <v>0</v>
      </c>
      <c r="P160" s="47">
        <f t="shared" si="15"/>
        <v>0</v>
      </c>
      <c r="S160" s="44"/>
      <c r="T160" s="51" t="s">
        <v>112</v>
      </c>
      <c r="U160" s="41"/>
      <c r="V160" s="46"/>
      <c r="W160" s="47"/>
    </row>
    <row r="161" spans="1:23" ht="20.399999999999999" x14ac:dyDescent="0.25">
      <c r="A161" s="131"/>
      <c r="B161" s="144"/>
      <c r="C161" s="141"/>
      <c r="D161" s="141"/>
      <c r="E161" s="141"/>
      <c r="F161" s="141"/>
      <c r="G161" s="44"/>
      <c r="H161" s="51">
        <v>8333</v>
      </c>
      <c r="I161" s="41"/>
      <c r="J161" s="46"/>
      <c r="K161" s="47"/>
      <c r="L161" s="39">
        <f t="shared" si="11"/>
        <v>0</v>
      </c>
      <c r="M161" s="51">
        <f t="shared" si="12"/>
        <v>8333</v>
      </c>
      <c r="N161" s="41">
        <f t="shared" si="13"/>
        <v>0</v>
      </c>
      <c r="O161" s="46">
        <f t="shared" si="14"/>
        <v>0</v>
      </c>
      <c r="P161" s="47">
        <f t="shared" si="15"/>
        <v>0</v>
      </c>
      <c r="S161" s="44"/>
      <c r="T161" s="51" t="s">
        <v>112</v>
      </c>
      <c r="U161" s="41"/>
      <c r="V161" s="46"/>
      <c r="W161" s="47"/>
    </row>
    <row r="162" spans="1:23" ht="20.399999999999999" x14ac:dyDescent="0.25">
      <c r="A162" s="131"/>
      <c r="B162" s="144"/>
      <c r="C162" s="141"/>
      <c r="D162" s="141"/>
      <c r="E162" s="141"/>
      <c r="F162" s="141"/>
      <c r="G162" s="44"/>
      <c r="H162" s="51">
        <v>8333</v>
      </c>
      <c r="I162" s="41"/>
      <c r="J162" s="46"/>
      <c r="K162" s="47"/>
      <c r="L162" s="39">
        <f t="shared" si="11"/>
        <v>0</v>
      </c>
      <c r="M162" s="51">
        <f t="shared" si="12"/>
        <v>8333</v>
      </c>
      <c r="N162" s="41">
        <f t="shared" si="13"/>
        <v>0</v>
      </c>
      <c r="O162" s="46">
        <f t="shared" si="14"/>
        <v>0</v>
      </c>
      <c r="P162" s="47">
        <f t="shared" si="15"/>
        <v>0</v>
      </c>
      <c r="S162" s="44"/>
      <c r="T162" s="51" t="s">
        <v>112</v>
      </c>
      <c r="U162" s="41"/>
      <c r="V162" s="46"/>
      <c r="W162" s="47"/>
    </row>
    <row r="163" spans="1:23" ht="20.399999999999999" x14ac:dyDescent="0.25">
      <c r="A163" s="131"/>
      <c r="B163" s="144"/>
      <c r="C163" s="141"/>
      <c r="D163" s="141"/>
      <c r="E163" s="141"/>
      <c r="F163" s="141"/>
      <c r="G163" s="44"/>
      <c r="H163" s="51">
        <v>8333</v>
      </c>
      <c r="I163" s="41"/>
      <c r="J163" s="46"/>
      <c r="K163" s="47"/>
      <c r="L163" s="39">
        <f t="shared" si="11"/>
        <v>0</v>
      </c>
      <c r="M163" s="51">
        <f t="shared" si="12"/>
        <v>8333</v>
      </c>
      <c r="N163" s="41">
        <f t="shared" si="13"/>
        <v>0</v>
      </c>
      <c r="O163" s="46">
        <f t="shared" si="14"/>
        <v>0</v>
      </c>
      <c r="P163" s="47">
        <f t="shared" si="15"/>
        <v>0</v>
      </c>
      <c r="S163" s="44"/>
      <c r="T163" s="51" t="s">
        <v>112</v>
      </c>
      <c r="U163" s="41"/>
      <c r="V163" s="46"/>
      <c r="W163" s="47"/>
    </row>
    <row r="164" spans="1:23" ht="20.399999999999999" x14ac:dyDescent="0.25">
      <c r="A164" s="131"/>
      <c r="B164" s="144"/>
      <c r="C164" s="141"/>
      <c r="D164" s="141"/>
      <c r="E164" s="141"/>
      <c r="F164" s="141"/>
      <c r="G164" s="44"/>
      <c r="H164" s="51">
        <v>8333</v>
      </c>
      <c r="I164" s="41"/>
      <c r="J164" s="46"/>
      <c r="K164" s="47"/>
      <c r="L164" s="39">
        <f t="shared" si="11"/>
        <v>0</v>
      </c>
      <c r="M164" s="51">
        <f t="shared" si="12"/>
        <v>8333</v>
      </c>
      <c r="N164" s="41">
        <f t="shared" si="13"/>
        <v>0</v>
      </c>
      <c r="O164" s="46">
        <f t="shared" si="14"/>
        <v>0</v>
      </c>
      <c r="P164" s="47">
        <f t="shared" si="15"/>
        <v>0</v>
      </c>
      <c r="S164" s="44"/>
      <c r="T164" s="51" t="s">
        <v>112</v>
      </c>
      <c r="U164" s="41"/>
      <c r="V164" s="46"/>
      <c r="W164" s="47"/>
    </row>
    <row r="165" spans="1:23" ht="20.399999999999999" x14ac:dyDescent="0.25">
      <c r="A165" s="131"/>
      <c r="B165" s="144"/>
      <c r="C165" s="141"/>
      <c r="D165" s="141"/>
      <c r="E165" s="141"/>
      <c r="F165" s="141"/>
      <c r="G165" s="44"/>
      <c r="H165" s="51">
        <v>8333</v>
      </c>
      <c r="I165" s="41"/>
      <c r="J165" s="46"/>
      <c r="K165" s="47"/>
      <c r="L165" s="39">
        <f t="shared" si="11"/>
        <v>0</v>
      </c>
      <c r="M165" s="51">
        <f t="shared" si="12"/>
        <v>8333</v>
      </c>
      <c r="N165" s="41">
        <f t="shared" si="13"/>
        <v>0</v>
      </c>
      <c r="O165" s="46">
        <f t="shared" si="14"/>
        <v>0</v>
      </c>
      <c r="P165" s="47">
        <f t="shared" si="15"/>
        <v>0</v>
      </c>
      <c r="S165" s="44"/>
      <c r="T165" s="51" t="s">
        <v>112</v>
      </c>
      <c r="U165" s="41"/>
      <c r="V165" s="46"/>
      <c r="W165" s="47"/>
    </row>
    <row r="166" spans="1:23" ht="20.399999999999999" x14ac:dyDescent="0.25">
      <c r="A166" s="131"/>
      <c r="B166" s="144"/>
      <c r="C166" s="141"/>
      <c r="D166" s="141"/>
      <c r="E166" s="141"/>
      <c r="F166" s="141"/>
      <c r="G166" s="44"/>
      <c r="H166" s="51">
        <v>8333</v>
      </c>
      <c r="I166" s="41"/>
      <c r="J166" s="46"/>
      <c r="K166" s="47"/>
      <c r="L166" s="39">
        <f t="shared" si="11"/>
        <v>0</v>
      </c>
      <c r="M166" s="51">
        <f t="shared" si="12"/>
        <v>8333</v>
      </c>
      <c r="N166" s="41">
        <f t="shared" si="13"/>
        <v>0</v>
      </c>
      <c r="O166" s="46">
        <f t="shared" si="14"/>
        <v>0</v>
      </c>
      <c r="P166" s="47">
        <f t="shared" si="15"/>
        <v>0</v>
      </c>
      <c r="S166" s="44"/>
      <c r="T166" s="51" t="s">
        <v>112</v>
      </c>
      <c r="U166" s="41"/>
      <c r="V166" s="46"/>
      <c r="W166" s="47"/>
    </row>
    <row r="167" spans="1:23" ht="20.399999999999999" x14ac:dyDescent="0.25">
      <c r="A167" s="131"/>
      <c r="B167" s="144"/>
      <c r="C167" s="141"/>
      <c r="D167" s="141"/>
      <c r="E167" s="141"/>
      <c r="F167" s="141"/>
      <c r="G167" s="44"/>
      <c r="H167" s="51">
        <v>8333</v>
      </c>
      <c r="I167" s="41"/>
      <c r="J167" s="46"/>
      <c r="K167" s="47"/>
      <c r="L167" s="39">
        <f t="shared" si="11"/>
        <v>0</v>
      </c>
      <c r="M167" s="51">
        <f t="shared" si="12"/>
        <v>8333</v>
      </c>
      <c r="N167" s="41">
        <f t="shared" si="13"/>
        <v>0</v>
      </c>
      <c r="O167" s="46">
        <f t="shared" si="14"/>
        <v>0</v>
      </c>
      <c r="P167" s="47">
        <f t="shared" si="15"/>
        <v>0</v>
      </c>
      <c r="S167" s="44"/>
      <c r="T167" s="51" t="s">
        <v>112</v>
      </c>
      <c r="U167" s="41"/>
      <c r="V167" s="46"/>
      <c r="W167" s="47"/>
    </row>
    <row r="168" spans="1:23" ht="20.399999999999999" x14ac:dyDescent="0.25">
      <c r="A168" s="131"/>
      <c r="B168" s="144"/>
      <c r="C168" s="141"/>
      <c r="D168" s="141"/>
      <c r="E168" s="141"/>
      <c r="F168" s="141"/>
      <c r="G168" s="44"/>
      <c r="H168" s="51">
        <v>8333</v>
      </c>
      <c r="I168" s="41"/>
      <c r="J168" s="46"/>
      <c r="K168" s="47"/>
      <c r="L168" s="39">
        <f t="shared" si="11"/>
        <v>0</v>
      </c>
      <c r="M168" s="51">
        <f t="shared" si="12"/>
        <v>8333</v>
      </c>
      <c r="N168" s="41">
        <f t="shared" si="13"/>
        <v>0</v>
      </c>
      <c r="O168" s="46">
        <f t="shared" si="14"/>
        <v>0</v>
      </c>
      <c r="P168" s="47">
        <f t="shared" si="15"/>
        <v>0</v>
      </c>
      <c r="S168" s="44"/>
      <c r="T168" s="51" t="s">
        <v>112</v>
      </c>
      <c r="U168" s="41"/>
      <c r="V168" s="46"/>
      <c r="W168" s="47"/>
    </row>
    <row r="169" spans="1:23" ht="20.399999999999999" x14ac:dyDescent="0.25">
      <c r="A169" s="131"/>
      <c r="B169" s="144"/>
      <c r="C169" s="141"/>
      <c r="D169" s="141"/>
      <c r="E169" s="141"/>
      <c r="F169" s="141"/>
      <c r="G169" s="44"/>
      <c r="H169" s="51">
        <v>8333</v>
      </c>
      <c r="I169" s="41"/>
      <c r="J169" s="46"/>
      <c r="K169" s="47"/>
      <c r="L169" s="39">
        <f t="shared" si="11"/>
        <v>0</v>
      </c>
      <c r="M169" s="51">
        <f t="shared" si="12"/>
        <v>8333</v>
      </c>
      <c r="N169" s="41">
        <f t="shared" si="13"/>
        <v>0</v>
      </c>
      <c r="O169" s="46">
        <f t="shared" si="14"/>
        <v>0</v>
      </c>
      <c r="P169" s="47">
        <f t="shared" si="15"/>
        <v>0</v>
      </c>
      <c r="S169" s="44"/>
      <c r="T169" s="51" t="s">
        <v>112</v>
      </c>
      <c r="U169" s="41"/>
      <c r="V169" s="46"/>
      <c r="W169" s="47"/>
    </row>
    <row r="170" spans="1:23" ht="20.399999999999999" x14ac:dyDescent="0.25">
      <c r="A170" s="131"/>
      <c r="B170" s="144"/>
      <c r="C170" s="141"/>
      <c r="D170" s="141"/>
      <c r="E170" s="141"/>
      <c r="F170" s="141"/>
      <c r="G170" s="44"/>
      <c r="H170" s="51">
        <v>8333</v>
      </c>
      <c r="I170" s="41"/>
      <c r="J170" s="46"/>
      <c r="K170" s="47"/>
      <c r="L170" s="39">
        <f t="shared" si="11"/>
        <v>0</v>
      </c>
      <c r="M170" s="51">
        <f t="shared" si="12"/>
        <v>8333</v>
      </c>
      <c r="N170" s="41">
        <f t="shared" si="13"/>
        <v>0</v>
      </c>
      <c r="O170" s="46">
        <f t="shared" si="14"/>
        <v>0</v>
      </c>
      <c r="P170" s="47">
        <f t="shared" si="15"/>
        <v>0</v>
      </c>
      <c r="S170" s="44"/>
      <c r="T170" s="51" t="s">
        <v>112</v>
      </c>
      <c r="U170" s="41"/>
      <c r="V170" s="46"/>
      <c r="W170" s="47"/>
    </row>
    <row r="171" spans="1:23" ht="20.399999999999999" x14ac:dyDescent="0.25">
      <c r="A171" s="131"/>
      <c r="B171" s="144"/>
      <c r="C171" s="141"/>
      <c r="D171" s="141"/>
      <c r="E171" s="141"/>
      <c r="F171" s="141"/>
      <c r="G171" s="44"/>
      <c r="H171" s="51">
        <v>8333</v>
      </c>
      <c r="I171" s="41"/>
      <c r="J171" s="46"/>
      <c r="K171" s="47"/>
      <c r="L171" s="39">
        <f t="shared" si="11"/>
        <v>0</v>
      </c>
      <c r="M171" s="51">
        <f t="shared" si="12"/>
        <v>8333</v>
      </c>
      <c r="N171" s="41">
        <f t="shared" si="13"/>
        <v>0</v>
      </c>
      <c r="O171" s="46">
        <f t="shared" si="14"/>
        <v>0</v>
      </c>
      <c r="P171" s="47">
        <f t="shared" si="15"/>
        <v>0</v>
      </c>
      <c r="S171" s="44"/>
      <c r="T171" s="51" t="s">
        <v>112</v>
      </c>
      <c r="U171" s="41"/>
      <c r="V171" s="46"/>
      <c r="W171" s="47"/>
    </row>
    <row r="172" spans="1:23" ht="20.399999999999999" x14ac:dyDescent="0.25">
      <c r="A172" s="131"/>
      <c r="B172" s="144"/>
      <c r="C172" s="141"/>
      <c r="D172" s="141"/>
      <c r="E172" s="141"/>
      <c r="F172" s="141"/>
      <c r="G172" s="44"/>
      <c r="H172" s="51">
        <v>8333</v>
      </c>
      <c r="I172" s="41"/>
      <c r="J172" s="46"/>
      <c r="K172" s="47"/>
      <c r="L172" s="39">
        <f t="shared" si="11"/>
        <v>0</v>
      </c>
      <c r="M172" s="51">
        <f t="shared" si="12"/>
        <v>8333</v>
      </c>
      <c r="N172" s="41">
        <f t="shared" si="13"/>
        <v>0</v>
      </c>
      <c r="O172" s="46">
        <f t="shared" si="14"/>
        <v>0</v>
      </c>
      <c r="P172" s="47">
        <f t="shared" si="15"/>
        <v>0</v>
      </c>
      <c r="S172" s="44"/>
      <c r="T172" s="51" t="s">
        <v>113</v>
      </c>
      <c r="U172" s="41"/>
      <c r="V172" s="46"/>
      <c r="W172" s="47"/>
    </row>
    <row r="173" spans="1:23" ht="20.399999999999999" x14ac:dyDescent="0.25">
      <c r="A173" s="131"/>
      <c r="B173" s="144"/>
      <c r="C173" s="141"/>
      <c r="D173" s="141"/>
      <c r="E173" s="141"/>
      <c r="F173" s="141"/>
      <c r="G173" s="44"/>
      <c r="H173" s="51">
        <v>8333</v>
      </c>
      <c r="I173" s="41"/>
      <c r="J173" s="46"/>
      <c r="K173" s="47"/>
      <c r="L173" s="39">
        <f t="shared" si="11"/>
        <v>0</v>
      </c>
      <c r="M173" s="51">
        <f t="shared" si="12"/>
        <v>8333</v>
      </c>
      <c r="N173" s="41">
        <f t="shared" si="13"/>
        <v>0</v>
      </c>
      <c r="O173" s="46">
        <f t="shared" si="14"/>
        <v>0</v>
      </c>
      <c r="P173" s="47">
        <f t="shared" si="15"/>
        <v>0</v>
      </c>
      <c r="S173" s="44"/>
      <c r="T173" s="51" t="s">
        <v>113</v>
      </c>
      <c r="U173" s="41"/>
      <c r="V173" s="46"/>
      <c r="W173" s="47"/>
    </row>
    <row r="174" spans="1:23" ht="20.399999999999999" x14ac:dyDescent="0.25">
      <c r="A174" s="131"/>
      <c r="B174" s="144"/>
      <c r="C174" s="141"/>
      <c r="D174" s="141"/>
      <c r="E174" s="141"/>
      <c r="F174" s="141"/>
      <c r="G174" s="44"/>
      <c r="H174" s="51">
        <v>8333</v>
      </c>
      <c r="I174" s="41"/>
      <c r="J174" s="46"/>
      <c r="K174" s="47"/>
      <c r="L174" s="39">
        <f t="shared" si="11"/>
        <v>0</v>
      </c>
      <c r="M174" s="51">
        <f t="shared" si="12"/>
        <v>8333</v>
      </c>
      <c r="N174" s="41">
        <f t="shared" si="13"/>
        <v>0</v>
      </c>
      <c r="O174" s="46">
        <f t="shared" si="14"/>
        <v>0</v>
      </c>
      <c r="P174" s="47">
        <f t="shared" si="15"/>
        <v>0</v>
      </c>
      <c r="S174" s="44"/>
      <c r="T174" s="51" t="s">
        <v>113</v>
      </c>
      <c r="U174" s="41"/>
      <c r="V174" s="46"/>
      <c r="W174" s="47"/>
    </row>
    <row r="175" spans="1:23" ht="20.399999999999999" x14ac:dyDescent="0.25">
      <c r="A175" s="131"/>
      <c r="B175" s="144"/>
      <c r="C175" s="141"/>
      <c r="D175" s="141"/>
      <c r="E175" s="141"/>
      <c r="F175" s="141"/>
      <c r="G175" s="44"/>
      <c r="H175" s="51">
        <v>8333</v>
      </c>
      <c r="I175" s="41"/>
      <c r="J175" s="46"/>
      <c r="K175" s="47"/>
      <c r="L175" s="39">
        <f t="shared" si="11"/>
        <v>0</v>
      </c>
      <c r="M175" s="51">
        <f t="shared" si="12"/>
        <v>8333</v>
      </c>
      <c r="N175" s="41">
        <f t="shared" si="13"/>
        <v>0</v>
      </c>
      <c r="O175" s="46">
        <f t="shared" si="14"/>
        <v>0</v>
      </c>
      <c r="P175" s="47">
        <f t="shared" si="15"/>
        <v>0</v>
      </c>
      <c r="S175" s="44"/>
      <c r="T175" s="51" t="s">
        <v>113</v>
      </c>
      <c r="U175" s="41"/>
      <c r="V175" s="46"/>
      <c r="W175" s="47"/>
    </row>
    <row r="176" spans="1:23" ht="20.399999999999999" x14ac:dyDescent="0.25">
      <c r="A176" s="131"/>
      <c r="B176" s="144"/>
      <c r="C176" s="141"/>
      <c r="D176" s="141"/>
      <c r="E176" s="141"/>
      <c r="F176" s="141"/>
      <c r="G176" s="44"/>
      <c r="H176" s="51">
        <v>8333</v>
      </c>
      <c r="I176" s="41"/>
      <c r="J176" s="46"/>
      <c r="K176" s="47"/>
      <c r="L176" s="39">
        <f t="shared" si="11"/>
        <v>0</v>
      </c>
      <c r="M176" s="51">
        <f t="shared" si="12"/>
        <v>8333</v>
      </c>
      <c r="N176" s="41">
        <f t="shared" si="13"/>
        <v>0</v>
      </c>
      <c r="O176" s="46">
        <f t="shared" si="14"/>
        <v>0</v>
      </c>
      <c r="P176" s="47">
        <f t="shared" si="15"/>
        <v>0</v>
      </c>
      <c r="S176" s="44"/>
      <c r="T176" s="51" t="s">
        <v>113</v>
      </c>
      <c r="U176" s="41"/>
      <c r="V176" s="46"/>
      <c r="W176" s="47"/>
    </row>
    <row r="177" spans="1:23" ht="20.399999999999999" x14ac:dyDescent="0.25">
      <c r="A177" s="132"/>
      <c r="B177" s="145"/>
      <c r="C177" s="142"/>
      <c r="D177" s="142"/>
      <c r="E177" s="142"/>
      <c r="F177" s="142"/>
      <c r="G177" s="44"/>
      <c r="H177" s="51">
        <v>8333</v>
      </c>
      <c r="I177" s="41"/>
      <c r="J177" s="46"/>
      <c r="K177" s="47"/>
      <c r="L177" s="39">
        <f t="shared" si="11"/>
        <v>0</v>
      </c>
      <c r="M177" s="51">
        <f t="shared" si="12"/>
        <v>8333</v>
      </c>
      <c r="N177" s="41">
        <f t="shared" si="13"/>
        <v>0</v>
      </c>
      <c r="O177" s="46">
        <f t="shared" si="14"/>
        <v>0</v>
      </c>
      <c r="P177" s="47">
        <f t="shared" si="15"/>
        <v>0</v>
      </c>
      <c r="S177" s="44"/>
      <c r="T177" s="51" t="s">
        <v>113</v>
      </c>
      <c r="U177" s="41"/>
      <c r="V177" s="46"/>
      <c r="W177" s="47"/>
    </row>
    <row r="178" spans="1:23" x14ac:dyDescent="0.25">
      <c r="A178" s="133" t="s">
        <v>133</v>
      </c>
      <c r="B178" s="110">
        <v>6</v>
      </c>
      <c r="C178" s="114" t="s">
        <v>27</v>
      </c>
      <c r="D178" s="113" t="s">
        <v>28</v>
      </c>
      <c r="E178" s="113" t="s">
        <v>11</v>
      </c>
      <c r="F178" s="113"/>
      <c r="G178" s="44"/>
      <c r="H178" s="40"/>
      <c r="I178" s="41"/>
      <c r="J178" s="42">
        <v>48.48</v>
      </c>
      <c r="K178" s="47"/>
      <c r="L178" s="39">
        <f t="shared" si="11"/>
        <v>0</v>
      </c>
      <c r="M178" s="40">
        <f t="shared" si="12"/>
        <v>0</v>
      </c>
      <c r="N178" s="41">
        <f t="shared" si="13"/>
        <v>0</v>
      </c>
      <c r="O178" s="42">
        <f t="shared" si="14"/>
        <v>48.48</v>
      </c>
      <c r="P178" s="47">
        <f t="shared" si="15"/>
        <v>0</v>
      </c>
      <c r="S178" s="44"/>
      <c r="T178" s="40"/>
      <c r="U178" s="41"/>
      <c r="V178" s="42">
        <v>48.48</v>
      </c>
      <c r="W178" s="47"/>
    </row>
    <row r="179" spans="1:23" x14ac:dyDescent="0.25">
      <c r="A179" s="147"/>
      <c r="B179" s="110"/>
      <c r="C179" s="114"/>
      <c r="D179" s="113"/>
      <c r="E179" s="111" t="s">
        <v>16</v>
      </c>
      <c r="F179" s="111"/>
      <c r="G179" s="39">
        <v>157.35</v>
      </c>
      <c r="H179" s="68">
        <v>158</v>
      </c>
      <c r="I179" s="41"/>
      <c r="J179" s="46"/>
      <c r="K179" s="43">
        <v>74</v>
      </c>
      <c r="L179" s="39">
        <f t="shared" si="11"/>
        <v>157.35</v>
      </c>
      <c r="M179" s="68">
        <f t="shared" si="12"/>
        <v>158</v>
      </c>
      <c r="N179" s="41">
        <f t="shared" si="13"/>
        <v>0</v>
      </c>
      <c r="O179" s="46">
        <f t="shared" si="14"/>
        <v>0</v>
      </c>
      <c r="P179" s="43">
        <f t="shared" si="15"/>
        <v>74</v>
      </c>
      <c r="S179" s="39">
        <v>157.35</v>
      </c>
      <c r="T179" s="68">
        <v>158</v>
      </c>
      <c r="U179" s="41"/>
      <c r="V179" s="46"/>
      <c r="W179" s="43">
        <v>74</v>
      </c>
    </row>
    <row r="180" spans="1:23" x14ac:dyDescent="0.25">
      <c r="A180" s="147"/>
      <c r="B180" s="110"/>
      <c r="C180" s="114"/>
      <c r="D180" s="113"/>
      <c r="E180" s="114" t="s">
        <v>13</v>
      </c>
      <c r="F180" s="114"/>
      <c r="G180" s="53" t="s">
        <v>45</v>
      </c>
      <c r="H180" s="146">
        <v>66.599999999999994</v>
      </c>
      <c r="I180" s="41"/>
      <c r="J180" s="46"/>
      <c r="K180" s="43">
        <v>35.67</v>
      </c>
      <c r="L180" s="39">
        <f t="shared" ref="L180:L189" si="16">IF(OR(G180="NA", G180=0),0,(1*G180))</f>
        <v>0</v>
      </c>
      <c r="M180" s="146">
        <f t="shared" ref="M180:M189" si="17">IF(OR(H180="NA", H180=0),0,(1*H180))</f>
        <v>66.599999999999994</v>
      </c>
      <c r="N180" s="41">
        <f t="shared" ref="N180:N189" si="18">IF(OR(I180="NA", I180=0),0,(1*I180))</f>
        <v>0</v>
      </c>
      <c r="O180" s="46">
        <f t="shared" ref="O180:O189" si="19">IF(OR(J180="NA", J180=0),0,(1*J180))</f>
        <v>0</v>
      </c>
      <c r="P180" s="43">
        <f t="shared" ref="P180:P189" si="20">IF(OR(K180="NA", K180=0),0,(1*K180))</f>
        <v>35.67</v>
      </c>
      <c r="S180" s="53" t="s">
        <v>45</v>
      </c>
      <c r="T180" s="146">
        <v>66.599999999999994</v>
      </c>
      <c r="U180" s="41"/>
      <c r="V180" s="46"/>
      <c r="W180" s="43">
        <v>35.67</v>
      </c>
    </row>
    <row r="181" spans="1:23" x14ac:dyDescent="0.25">
      <c r="A181" s="148"/>
      <c r="B181" s="110"/>
      <c r="C181" s="114"/>
      <c r="D181" s="113"/>
      <c r="E181" s="114" t="s">
        <v>17</v>
      </c>
      <c r="F181" s="114"/>
      <c r="G181" s="39">
        <v>101.67</v>
      </c>
      <c r="H181" s="146"/>
      <c r="I181" s="41"/>
      <c r="J181" s="46"/>
      <c r="K181" s="43">
        <v>17.510000000000002</v>
      </c>
      <c r="L181" s="39">
        <f t="shared" si="16"/>
        <v>101.67</v>
      </c>
      <c r="M181" s="146"/>
      <c r="N181" s="41">
        <f t="shared" si="18"/>
        <v>0</v>
      </c>
      <c r="O181" s="46">
        <f t="shared" si="19"/>
        <v>0</v>
      </c>
      <c r="P181" s="43">
        <f t="shared" si="20"/>
        <v>17.510000000000002</v>
      </c>
      <c r="S181" s="39">
        <v>101.67</v>
      </c>
      <c r="T181" s="146"/>
      <c r="U181" s="41"/>
      <c r="V181" s="46"/>
      <c r="W181" s="43">
        <v>17.510000000000002</v>
      </c>
    </row>
    <row r="182" spans="1:23" x14ac:dyDescent="0.25">
      <c r="A182" s="133" t="s">
        <v>133</v>
      </c>
      <c r="B182" s="110">
        <v>7</v>
      </c>
      <c r="C182" s="115" t="s">
        <v>29</v>
      </c>
      <c r="D182" s="112" t="s">
        <v>30</v>
      </c>
      <c r="E182" s="113" t="s">
        <v>11</v>
      </c>
      <c r="F182" s="113"/>
      <c r="G182" s="44"/>
      <c r="H182" s="40"/>
      <c r="I182" s="41"/>
      <c r="J182" s="42">
        <v>99.8</v>
      </c>
      <c r="K182" s="47"/>
      <c r="L182" s="39">
        <f t="shared" si="16"/>
        <v>0</v>
      </c>
      <c r="M182" s="40">
        <f t="shared" si="17"/>
        <v>0</v>
      </c>
      <c r="N182" s="41">
        <f t="shared" si="18"/>
        <v>0</v>
      </c>
      <c r="O182" s="42">
        <f t="shared" si="19"/>
        <v>99.8</v>
      </c>
      <c r="P182" s="47">
        <f t="shared" si="20"/>
        <v>0</v>
      </c>
      <c r="S182" s="44"/>
      <c r="T182" s="40"/>
      <c r="U182" s="41"/>
      <c r="V182" s="42">
        <v>99.8</v>
      </c>
      <c r="W182" s="47"/>
    </row>
    <row r="183" spans="1:23" x14ac:dyDescent="0.25">
      <c r="A183" s="131"/>
      <c r="B183" s="110"/>
      <c r="C183" s="115"/>
      <c r="D183" s="112"/>
      <c r="E183" s="111" t="s">
        <v>16</v>
      </c>
      <c r="F183" s="111"/>
      <c r="G183" s="39">
        <v>99.96</v>
      </c>
      <c r="H183" s="68">
        <v>98.84</v>
      </c>
      <c r="I183" s="41"/>
      <c r="J183" s="46"/>
      <c r="K183" s="43">
        <v>99.21</v>
      </c>
      <c r="L183" s="39">
        <f t="shared" si="16"/>
        <v>99.96</v>
      </c>
      <c r="M183" s="68">
        <f t="shared" si="17"/>
        <v>98.84</v>
      </c>
      <c r="N183" s="41">
        <f t="shared" si="18"/>
        <v>0</v>
      </c>
      <c r="O183" s="46">
        <f t="shared" si="19"/>
        <v>0</v>
      </c>
      <c r="P183" s="43">
        <f t="shared" si="20"/>
        <v>99.21</v>
      </c>
      <c r="S183" s="39">
        <v>99.96</v>
      </c>
      <c r="T183" s="68">
        <v>98.84</v>
      </c>
      <c r="U183" s="41"/>
      <c r="V183" s="46"/>
      <c r="W183" s="43">
        <v>99.21</v>
      </c>
    </row>
    <row r="184" spans="1:23" x14ac:dyDescent="0.25">
      <c r="A184" s="131"/>
      <c r="B184" s="110"/>
      <c r="C184" s="115"/>
      <c r="D184" s="112"/>
      <c r="E184" s="114" t="s">
        <v>13</v>
      </c>
      <c r="F184" s="114"/>
      <c r="G184" s="53" t="s">
        <v>45</v>
      </c>
      <c r="H184" s="146">
        <v>98.6</v>
      </c>
      <c r="I184" s="41"/>
      <c r="J184" s="46"/>
      <c r="K184" s="43">
        <v>97.05</v>
      </c>
      <c r="L184" s="39">
        <f t="shared" si="16"/>
        <v>0</v>
      </c>
      <c r="M184" s="146">
        <f t="shared" si="17"/>
        <v>98.6</v>
      </c>
      <c r="N184" s="41">
        <f t="shared" si="18"/>
        <v>0</v>
      </c>
      <c r="O184" s="46">
        <f t="shared" si="19"/>
        <v>0</v>
      </c>
      <c r="P184" s="43">
        <f t="shared" si="20"/>
        <v>97.05</v>
      </c>
      <c r="S184" s="53" t="s">
        <v>45</v>
      </c>
      <c r="T184" s="146">
        <v>98.6</v>
      </c>
      <c r="U184" s="41"/>
      <c r="V184" s="46"/>
      <c r="W184" s="43">
        <v>97.05</v>
      </c>
    </row>
    <row r="185" spans="1:23" x14ac:dyDescent="0.25">
      <c r="A185" s="132"/>
      <c r="B185" s="110"/>
      <c r="C185" s="115"/>
      <c r="D185" s="112"/>
      <c r="E185" s="114" t="s">
        <v>17</v>
      </c>
      <c r="F185" s="114"/>
      <c r="G185" s="39">
        <v>99.91</v>
      </c>
      <c r="H185" s="146"/>
      <c r="I185" s="41"/>
      <c r="J185" s="46"/>
      <c r="K185" s="43">
        <v>99.71</v>
      </c>
      <c r="L185" s="39">
        <f t="shared" si="16"/>
        <v>99.91</v>
      </c>
      <c r="M185" s="146"/>
      <c r="N185" s="41">
        <f t="shared" si="18"/>
        <v>0</v>
      </c>
      <c r="O185" s="46">
        <f t="shared" si="19"/>
        <v>0</v>
      </c>
      <c r="P185" s="43">
        <f t="shared" si="20"/>
        <v>99.71</v>
      </c>
      <c r="S185" s="39">
        <v>99.91</v>
      </c>
      <c r="T185" s="146"/>
      <c r="U185" s="41"/>
      <c r="V185" s="46"/>
      <c r="W185" s="43">
        <v>99.71</v>
      </c>
    </row>
    <row r="186" spans="1:23" x14ac:dyDescent="0.25">
      <c r="A186" s="133" t="s">
        <v>133</v>
      </c>
      <c r="B186" s="110">
        <v>8</v>
      </c>
      <c r="C186" s="111" t="s">
        <v>31</v>
      </c>
      <c r="D186" s="112" t="s">
        <v>32</v>
      </c>
      <c r="E186" s="113" t="s">
        <v>11</v>
      </c>
      <c r="F186" s="113"/>
      <c r="G186" s="44"/>
      <c r="H186" s="40"/>
      <c r="I186" s="41"/>
      <c r="J186" s="42">
        <v>0.43</v>
      </c>
      <c r="K186" s="47"/>
      <c r="L186" s="39">
        <f t="shared" si="16"/>
        <v>0</v>
      </c>
      <c r="M186" s="40">
        <f t="shared" si="17"/>
        <v>0</v>
      </c>
      <c r="N186" s="41">
        <f t="shared" si="18"/>
        <v>0</v>
      </c>
      <c r="O186" s="42">
        <f t="shared" si="19"/>
        <v>0.43</v>
      </c>
      <c r="P186" s="47">
        <f t="shared" si="20"/>
        <v>0</v>
      </c>
      <c r="S186" s="44"/>
      <c r="T186" s="40"/>
      <c r="U186" s="41"/>
      <c r="V186" s="42">
        <v>0.43</v>
      </c>
      <c r="W186" s="47"/>
    </row>
    <row r="187" spans="1:23" x14ac:dyDescent="0.25">
      <c r="A187" s="131"/>
      <c r="B187" s="110"/>
      <c r="C187" s="111"/>
      <c r="D187" s="112"/>
      <c r="E187" s="111" t="s">
        <v>16</v>
      </c>
      <c r="F187" s="111"/>
      <c r="G187" s="39">
        <v>4.93</v>
      </c>
      <c r="H187" s="40"/>
      <c r="I187" s="41"/>
      <c r="J187" s="46"/>
      <c r="K187" s="43">
        <v>1.87</v>
      </c>
      <c r="L187" s="39">
        <f t="shared" si="16"/>
        <v>4.93</v>
      </c>
      <c r="M187" s="40">
        <f t="shared" si="17"/>
        <v>0</v>
      </c>
      <c r="N187" s="41">
        <f t="shared" si="18"/>
        <v>0</v>
      </c>
      <c r="O187" s="46">
        <f t="shared" si="19"/>
        <v>0</v>
      </c>
      <c r="P187" s="43">
        <f t="shared" si="20"/>
        <v>1.87</v>
      </c>
      <c r="S187" s="39">
        <v>4.93</v>
      </c>
      <c r="T187" s="40"/>
      <c r="U187" s="41"/>
      <c r="V187" s="46"/>
      <c r="W187" s="43">
        <v>1.87</v>
      </c>
    </row>
    <row r="188" spans="1:23" x14ac:dyDescent="0.25">
      <c r="A188" s="131"/>
      <c r="B188" s="110"/>
      <c r="C188" s="111"/>
      <c r="D188" s="112"/>
      <c r="E188" s="114" t="s">
        <v>13</v>
      </c>
      <c r="F188" s="114"/>
      <c r="G188" s="53" t="s">
        <v>45</v>
      </c>
      <c r="H188" s="146">
        <v>0.75</v>
      </c>
      <c r="I188" s="41"/>
      <c r="J188" s="46"/>
      <c r="K188" s="43">
        <v>0.76</v>
      </c>
      <c r="L188" s="39">
        <f t="shared" si="16"/>
        <v>0</v>
      </c>
      <c r="M188" s="146">
        <f t="shared" si="17"/>
        <v>0.75</v>
      </c>
      <c r="N188" s="41">
        <f t="shared" si="18"/>
        <v>0</v>
      </c>
      <c r="O188" s="46">
        <f t="shared" si="19"/>
        <v>0</v>
      </c>
      <c r="P188" s="43">
        <f t="shared" si="20"/>
        <v>0.76</v>
      </c>
      <c r="S188" s="53" t="s">
        <v>45</v>
      </c>
      <c r="T188" s="146">
        <v>0.75</v>
      </c>
      <c r="U188" s="41"/>
      <c r="V188" s="46"/>
      <c r="W188" s="43">
        <v>0.76</v>
      </c>
    </row>
    <row r="189" spans="1:23" x14ac:dyDescent="0.25">
      <c r="A189" s="132"/>
      <c r="B189" s="110"/>
      <c r="C189" s="111"/>
      <c r="D189" s="112"/>
      <c r="E189" s="114" t="s">
        <v>17</v>
      </c>
      <c r="F189" s="114"/>
      <c r="G189" s="39">
        <v>0.68</v>
      </c>
      <c r="H189" s="146"/>
      <c r="I189" s="41"/>
      <c r="J189" s="46"/>
      <c r="K189" s="43">
        <v>0.12</v>
      </c>
      <c r="L189" s="39">
        <f t="shared" si="16"/>
        <v>0.68</v>
      </c>
      <c r="M189" s="146"/>
      <c r="N189" s="41">
        <f t="shared" si="18"/>
        <v>0</v>
      </c>
      <c r="O189" s="46">
        <f t="shared" si="19"/>
        <v>0</v>
      </c>
      <c r="P189" s="43">
        <f t="shared" si="20"/>
        <v>0.12</v>
      </c>
      <c r="S189" s="39">
        <v>0.68</v>
      </c>
      <c r="T189" s="146"/>
      <c r="U189" s="41"/>
      <c r="V189" s="46"/>
      <c r="W189" s="43">
        <v>0.12</v>
      </c>
    </row>
  </sheetData>
  <mergeCells count="87">
    <mergeCell ref="M188:M189"/>
    <mergeCell ref="T4:T5"/>
    <mergeCell ref="T8:T9"/>
    <mergeCell ref="T12:T13"/>
    <mergeCell ref="T180:T181"/>
    <mergeCell ref="T184:T185"/>
    <mergeCell ref="T188:T189"/>
    <mergeCell ref="M4:M5"/>
    <mergeCell ref="M8:M9"/>
    <mergeCell ref="M12:M13"/>
    <mergeCell ref="M180:M181"/>
    <mergeCell ref="M184:M185"/>
    <mergeCell ref="H4:H5"/>
    <mergeCell ref="E5:F5"/>
    <mergeCell ref="B6:B9"/>
    <mergeCell ref="C6:C9"/>
    <mergeCell ref="D6:D9"/>
    <mergeCell ref="E6:F6"/>
    <mergeCell ref="E7:F7"/>
    <mergeCell ref="E8:F8"/>
    <mergeCell ref="H8:H9"/>
    <mergeCell ref="E9:F9"/>
    <mergeCell ref="B2:B5"/>
    <mergeCell ref="C2:C5"/>
    <mergeCell ref="D2:D5"/>
    <mergeCell ref="E2:F2"/>
    <mergeCell ref="E3:F3"/>
    <mergeCell ref="E4:F4"/>
    <mergeCell ref="H12:H13"/>
    <mergeCell ref="E13:F13"/>
    <mergeCell ref="B10:B13"/>
    <mergeCell ref="C10:C13"/>
    <mergeCell ref="D10:D13"/>
    <mergeCell ref="E10:F10"/>
    <mergeCell ref="E11:F11"/>
    <mergeCell ref="E12:F12"/>
    <mergeCell ref="H180:H181"/>
    <mergeCell ref="E181:F181"/>
    <mergeCell ref="B182:B185"/>
    <mergeCell ref="C182:C185"/>
    <mergeCell ref="D182:D185"/>
    <mergeCell ref="E182:F182"/>
    <mergeCell ref="E183:F183"/>
    <mergeCell ref="E184:F184"/>
    <mergeCell ref="H184:H185"/>
    <mergeCell ref="E185:F185"/>
    <mergeCell ref="B178:B181"/>
    <mergeCell ref="C178:C181"/>
    <mergeCell ref="D178:D181"/>
    <mergeCell ref="E178:F178"/>
    <mergeCell ref="E179:F179"/>
    <mergeCell ref="E180:F180"/>
    <mergeCell ref="H188:H189"/>
    <mergeCell ref="E189:F189"/>
    <mergeCell ref="A2:A5"/>
    <mergeCell ref="A6:A9"/>
    <mergeCell ref="A10:A13"/>
    <mergeCell ref="A14:A95"/>
    <mergeCell ref="A96:A177"/>
    <mergeCell ref="A178:A181"/>
    <mergeCell ref="A182:A185"/>
    <mergeCell ref="A186:A189"/>
    <mergeCell ref="B186:B189"/>
    <mergeCell ref="C186:C189"/>
    <mergeCell ref="D186:D189"/>
    <mergeCell ref="E186:F186"/>
    <mergeCell ref="E187:F187"/>
    <mergeCell ref="E188:F188"/>
    <mergeCell ref="B96:B177"/>
    <mergeCell ref="E1:F1"/>
    <mergeCell ref="F15:F41"/>
    <mergeCell ref="E15:E41"/>
    <mergeCell ref="D14:D95"/>
    <mergeCell ref="C14:C95"/>
    <mergeCell ref="B14:B95"/>
    <mergeCell ref="E69:E95"/>
    <mergeCell ref="F69:F95"/>
    <mergeCell ref="E124:E150"/>
    <mergeCell ref="F151:F177"/>
    <mergeCell ref="E151:E177"/>
    <mergeCell ref="E42:E68"/>
    <mergeCell ref="F43:F68"/>
    <mergeCell ref="F124:F150"/>
    <mergeCell ref="E97:E123"/>
    <mergeCell ref="F97:F123"/>
    <mergeCell ref="D96:D177"/>
    <mergeCell ref="C96:C17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P31"/>
  <sheetViews>
    <sheetView workbookViewId="0">
      <selection activeCell="T26" sqref="T26"/>
    </sheetView>
  </sheetViews>
  <sheetFormatPr defaultRowHeight="13.2" x14ac:dyDescent="0.25"/>
  <cols>
    <col min="1" max="1" width="14.77734375" customWidth="1"/>
  </cols>
  <sheetData>
    <row r="1" spans="1:16" ht="40.799999999999997" x14ac:dyDescent="0.25">
      <c r="A1" s="31" t="s">
        <v>115</v>
      </c>
      <c r="B1" s="72" t="s">
        <v>0</v>
      </c>
      <c r="C1" s="66" t="s">
        <v>1</v>
      </c>
      <c r="D1" s="67" t="s">
        <v>2</v>
      </c>
      <c r="E1" s="109" t="s">
        <v>3</v>
      </c>
      <c r="F1" s="109"/>
      <c r="G1" s="34" t="s">
        <v>4</v>
      </c>
      <c r="H1" s="35" t="s">
        <v>5</v>
      </c>
      <c r="I1" s="36" t="s">
        <v>6</v>
      </c>
      <c r="J1" s="37" t="s">
        <v>7</v>
      </c>
      <c r="K1" s="38" t="s">
        <v>8</v>
      </c>
      <c r="L1" s="34" t="s">
        <v>4</v>
      </c>
      <c r="M1" s="35" t="s">
        <v>5</v>
      </c>
      <c r="N1" s="36" t="s">
        <v>6</v>
      </c>
      <c r="O1" s="37" t="s">
        <v>7</v>
      </c>
      <c r="P1" s="38" t="s">
        <v>8</v>
      </c>
    </row>
    <row r="2" spans="1:16" x14ac:dyDescent="0.25">
      <c r="A2" s="107" t="s">
        <v>134</v>
      </c>
      <c r="B2" s="125">
        <v>1</v>
      </c>
      <c r="C2" s="104" t="s">
        <v>9</v>
      </c>
      <c r="D2" s="104" t="s">
        <v>54</v>
      </c>
      <c r="E2" s="84" t="s">
        <v>11</v>
      </c>
      <c r="F2" s="85"/>
      <c r="G2" s="10">
        <v>100</v>
      </c>
      <c r="H2" s="16">
        <v>100</v>
      </c>
      <c r="I2" s="12"/>
      <c r="J2" s="13">
        <v>98.25</v>
      </c>
      <c r="K2" s="14">
        <v>99.89</v>
      </c>
      <c r="L2" s="10">
        <f>IF(OR(G2="NA",G2=0),0,(1*G2))</f>
        <v>100</v>
      </c>
      <c r="M2" s="16">
        <f>IF(OR(H2="NA",H2=0),0,(1*H2))</f>
        <v>100</v>
      </c>
      <c r="N2" s="12">
        <f t="shared" ref="M2:P2" si="0">IF(OR(I2="NA",I2=0),0,(1*I2))</f>
        <v>0</v>
      </c>
      <c r="O2" s="13">
        <f t="shared" si="0"/>
        <v>98.25</v>
      </c>
      <c r="P2" s="14">
        <f t="shared" si="0"/>
        <v>99.89</v>
      </c>
    </row>
    <row r="3" spans="1:16" x14ac:dyDescent="0.25">
      <c r="A3" s="108"/>
      <c r="B3" s="127"/>
      <c r="C3" s="106"/>
      <c r="D3" s="106"/>
      <c r="E3" s="86" t="s">
        <v>16</v>
      </c>
      <c r="F3" s="87"/>
      <c r="G3" s="15"/>
      <c r="H3" s="11"/>
      <c r="I3" s="12"/>
      <c r="J3" s="17"/>
      <c r="K3" s="18"/>
      <c r="L3" s="10">
        <f t="shared" ref="L3:M31" si="1">IF(OR(G3="NA",G3=0),0,(1*G3))</f>
        <v>0</v>
      </c>
      <c r="M3" s="11">
        <f t="shared" ref="M3:M15" si="2">IF(OR(H3="NA",H3=0),0,(1*H3))</f>
        <v>0</v>
      </c>
      <c r="N3" s="12">
        <f t="shared" ref="N3:N31" si="3">IF(OR(I3="NA",I3=0),0,(1*I3))</f>
        <v>0</v>
      </c>
      <c r="O3" s="17">
        <f t="shared" ref="O3:O31" si="4">IF(OR(J3="NA",J3=0),0,(1*J3))</f>
        <v>0</v>
      </c>
      <c r="P3" s="18">
        <f t="shared" ref="P3:P31" si="5">IF(OR(K3="NA",K3=0),0,(1*K3))</f>
        <v>0</v>
      </c>
    </row>
    <row r="4" spans="1:16" x14ac:dyDescent="0.25">
      <c r="A4" s="108" t="s">
        <v>134</v>
      </c>
      <c r="B4" s="125">
        <v>2</v>
      </c>
      <c r="C4" s="93" t="s">
        <v>14</v>
      </c>
      <c r="D4" s="93" t="s">
        <v>15</v>
      </c>
      <c r="E4" s="84" t="s">
        <v>11</v>
      </c>
      <c r="F4" s="85"/>
      <c r="G4" s="15"/>
      <c r="H4" s="16">
        <v>98.6</v>
      </c>
      <c r="I4" s="12"/>
      <c r="J4" s="13">
        <v>100</v>
      </c>
      <c r="K4" s="18"/>
      <c r="L4" s="10">
        <f t="shared" si="1"/>
        <v>0</v>
      </c>
      <c r="M4" s="16">
        <f t="shared" si="2"/>
        <v>98.6</v>
      </c>
      <c r="N4" s="12">
        <f t="shared" si="3"/>
        <v>0</v>
      </c>
      <c r="O4" s="13">
        <f t="shared" si="4"/>
        <v>100</v>
      </c>
      <c r="P4" s="18">
        <f t="shared" si="5"/>
        <v>0</v>
      </c>
    </row>
    <row r="5" spans="1:16" x14ac:dyDescent="0.25">
      <c r="A5" s="108"/>
      <c r="B5" s="126"/>
      <c r="C5" s="94"/>
      <c r="D5" s="94"/>
      <c r="E5" s="86" t="s">
        <v>16</v>
      </c>
      <c r="F5" s="87"/>
      <c r="G5" s="10">
        <v>100</v>
      </c>
      <c r="H5" s="11"/>
      <c r="I5" s="12"/>
      <c r="J5" s="17"/>
      <c r="K5" s="14">
        <v>100</v>
      </c>
      <c r="L5" s="10">
        <f t="shared" si="1"/>
        <v>100</v>
      </c>
      <c r="M5" s="11">
        <f t="shared" si="2"/>
        <v>0</v>
      </c>
      <c r="N5" s="12">
        <f t="shared" si="3"/>
        <v>0</v>
      </c>
      <c r="O5" s="17">
        <f t="shared" si="4"/>
        <v>0</v>
      </c>
      <c r="P5" s="14">
        <f t="shared" si="5"/>
        <v>100</v>
      </c>
    </row>
    <row r="6" spans="1:16" x14ac:dyDescent="0.25">
      <c r="A6" s="108"/>
      <c r="B6" s="126"/>
      <c r="C6" s="94"/>
      <c r="D6" s="94"/>
      <c r="E6" s="88" t="s">
        <v>13</v>
      </c>
      <c r="F6" s="89"/>
      <c r="G6" s="25" t="s">
        <v>45</v>
      </c>
      <c r="H6" s="11"/>
      <c r="I6" s="12"/>
      <c r="J6" s="17"/>
      <c r="K6" s="14">
        <v>100</v>
      </c>
      <c r="L6" s="10">
        <f t="shared" si="1"/>
        <v>0</v>
      </c>
      <c r="M6" s="11">
        <f t="shared" si="2"/>
        <v>0</v>
      </c>
      <c r="N6" s="12">
        <f t="shared" si="3"/>
        <v>0</v>
      </c>
      <c r="O6" s="17">
        <f t="shared" si="4"/>
        <v>0</v>
      </c>
      <c r="P6" s="14">
        <f t="shared" si="5"/>
        <v>100</v>
      </c>
    </row>
    <row r="7" spans="1:16" x14ac:dyDescent="0.25">
      <c r="A7" s="108"/>
      <c r="B7" s="127"/>
      <c r="C7" s="95"/>
      <c r="D7" s="95"/>
      <c r="E7" s="88" t="s">
        <v>17</v>
      </c>
      <c r="F7" s="89"/>
      <c r="G7" s="10">
        <v>100</v>
      </c>
      <c r="H7" s="11"/>
      <c r="I7" s="12"/>
      <c r="J7" s="17"/>
      <c r="K7" s="14">
        <v>100</v>
      </c>
      <c r="L7" s="10">
        <f t="shared" si="1"/>
        <v>100</v>
      </c>
      <c r="M7" s="11">
        <f t="shared" si="2"/>
        <v>0</v>
      </c>
      <c r="N7" s="12">
        <f t="shared" si="3"/>
        <v>0</v>
      </c>
      <c r="O7" s="17">
        <f t="shared" si="4"/>
        <v>0</v>
      </c>
      <c r="P7" s="14">
        <f t="shared" si="5"/>
        <v>100</v>
      </c>
    </row>
    <row r="8" spans="1:16" x14ac:dyDescent="0.25">
      <c r="A8" s="108" t="s">
        <v>134</v>
      </c>
      <c r="B8" s="125">
        <v>3</v>
      </c>
      <c r="C8" s="93" t="s">
        <v>18</v>
      </c>
      <c r="D8" s="93" t="s">
        <v>19</v>
      </c>
      <c r="E8" s="84" t="s">
        <v>11</v>
      </c>
      <c r="F8" s="85"/>
      <c r="G8" s="15"/>
      <c r="H8" s="16">
        <v>97.42</v>
      </c>
      <c r="I8" s="12"/>
      <c r="J8" s="13">
        <v>100</v>
      </c>
      <c r="K8" s="18"/>
      <c r="L8" s="10">
        <f t="shared" si="1"/>
        <v>0</v>
      </c>
      <c r="M8" s="16">
        <f t="shared" si="2"/>
        <v>97.42</v>
      </c>
      <c r="N8" s="12">
        <f t="shared" si="3"/>
        <v>0</v>
      </c>
      <c r="O8" s="13">
        <f t="shared" si="4"/>
        <v>100</v>
      </c>
      <c r="P8" s="18">
        <f t="shared" si="5"/>
        <v>0</v>
      </c>
    </row>
    <row r="9" spans="1:16" x14ac:dyDescent="0.25">
      <c r="A9" s="108"/>
      <c r="B9" s="126"/>
      <c r="C9" s="94"/>
      <c r="D9" s="94"/>
      <c r="E9" s="86" t="s">
        <v>16</v>
      </c>
      <c r="F9" s="87"/>
      <c r="G9" s="10">
        <v>100</v>
      </c>
      <c r="H9" s="11"/>
      <c r="I9" s="12"/>
      <c r="J9" s="17"/>
      <c r="K9" s="14">
        <v>100</v>
      </c>
      <c r="L9" s="10">
        <f t="shared" si="1"/>
        <v>100</v>
      </c>
      <c r="M9" s="11">
        <f t="shared" si="2"/>
        <v>0</v>
      </c>
      <c r="N9" s="12">
        <f t="shared" si="3"/>
        <v>0</v>
      </c>
      <c r="O9" s="17">
        <f t="shared" si="4"/>
        <v>0</v>
      </c>
      <c r="P9" s="14">
        <f t="shared" si="5"/>
        <v>100</v>
      </c>
    </row>
    <row r="10" spans="1:16" x14ac:dyDescent="0.25">
      <c r="A10" s="108"/>
      <c r="B10" s="126"/>
      <c r="C10" s="94"/>
      <c r="D10" s="94"/>
      <c r="E10" s="88" t="s">
        <v>13</v>
      </c>
      <c r="F10" s="89"/>
      <c r="G10" s="25" t="s">
        <v>45</v>
      </c>
      <c r="H10" s="11"/>
      <c r="I10" s="12"/>
      <c r="J10" s="17"/>
      <c r="K10" s="14">
        <v>100</v>
      </c>
      <c r="L10" s="10">
        <f t="shared" si="1"/>
        <v>0</v>
      </c>
      <c r="M10" s="11">
        <f t="shared" si="2"/>
        <v>0</v>
      </c>
      <c r="N10" s="12">
        <f t="shared" si="3"/>
        <v>0</v>
      </c>
      <c r="O10" s="17">
        <f t="shared" si="4"/>
        <v>0</v>
      </c>
      <c r="P10" s="14">
        <f t="shared" si="5"/>
        <v>100</v>
      </c>
    </row>
    <row r="11" spans="1:16" x14ac:dyDescent="0.25">
      <c r="A11" s="108"/>
      <c r="B11" s="127"/>
      <c r="C11" s="95"/>
      <c r="D11" s="95"/>
      <c r="E11" s="88" t="s">
        <v>17</v>
      </c>
      <c r="F11" s="89"/>
      <c r="G11" s="10">
        <v>100</v>
      </c>
      <c r="H11" s="11"/>
      <c r="I11" s="12"/>
      <c r="J11" s="17"/>
      <c r="K11" s="14">
        <v>100</v>
      </c>
      <c r="L11" s="10">
        <f t="shared" si="1"/>
        <v>100</v>
      </c>
      <c r="M11" s="11">
        <f t="shared" si="2"/>
        <v>0</v>
      </c>
      <c r="N11" s="12">
        <f t="shared" si="3"/>
        <v>0</v>
      </c>
      <c r="O11" s="17">
        <f t="shared" si="4"/>
        <v>0</v>
      </c>
      <c r="P11" s="14">
        <f t="shared" si="5"/>
        <v>100</v>
      </c>
    </row>
    <row r="12" spans="1:16" x14ac:dyDescent="0.25">
      <c r="A12" s="108" t="s">
        <v>134</v>
      </c>
      <c r="B12" s="125">
        <v>4</v>
      </c>
      <c r="C12" s="99" t="s">
        <v>20</v>
      </c>
      <c r="D12" s="99" t="s">
        <v>21</v>
      </c>
      <c r="E12" s="8" t="s">
        <v>22</v>
      </c>
      <c r="F12" s="19" t="s">
        <v>23</v>
      </c>
      <c r="G12" s="15"/>
      <c r="H12" s="11"/>
      <c r="I12" s="12"/>
      <c r="J12" s="17"/>
      <c r="K12" s="18"/>
      <c r="L12" s="10">
        <f t="shared" si="1"/>
        <v>0</v>
      </c>
      <c r="M12" s="29">
        <f t="shared" si="2"/>
        <v>0</v>
      </c>
      <c r="N12" s="12">
        <f t="shared" si="3"/>
        <v>0</v>
      </c>
      <c r="O12" s="17">
        <f t="shared" si="4"/>
        <v>0</v>
      </c>
      <c r="P12" s="18">
        <f t="shared" si="5"/>
        <v>0</v>
      </c>
    </row>
    <row r="13" spans="1:16" x14ac:dyDescent="0.25">
      <c r="A13" s="108"/>
      <c r="B13" s="126"/>
      <c r="C13" s="100"/>
      <c r="D13" s="100"/>
      <c r="E13" s="8" t="s">
        <v>12</v>
      </c>
      <c r="F13" s="19" t="s">
        <v>23</v>
      </c>
      <c r="G13" s="10">
        <v>69.67</v>
      </c>
      <c r="H13" s="151">
        <v>1819.9</v>
      </c>
      <c r="I13" s="12"/>
      <c r="J13" s="17"/>
      <c r="K13" s="14">
        <v>81.680000000000007</v>
      </c>
      <c r="L13" s="160">
        <f t="shared" si="1"/>
        <v>69.67</v>
      </c>
      <c r="M13" s="167">
        <f t="shared" si="2"/>
        <v>1819.9</v>
      </c>
      <c r="N13" s="161">
        <f t="shared" si="3"/>
        <v>0</v>
      </c>
      <c r="O13" s="17">
        <f t="shared" si="4"/>
        <v>0</v>
      </c>
      <c r="P13" s="14">
        <f t="shared" si="5"/>
        <v>81.680000000000007</v>
      </c>
    </row>
    <row r="14" spans="1:16" x14ac:dyDescent="0.25">
      <c r="A14" s="108"/>
      <c r="B14" s="126"/>
      <c r="C14" s="100"/>
      <c r="D14" s="100"/>
      <c r="E14" s="8" t="s">
        <v>13</v>
      </c>
      <c r="F14" s="19" t="s">
        <v>23</v>
      </c>
      <c r="G14" s="25" t="s">
        <v>45</v>
      </c>
      <c r="H14" s="152"/>
      <c r="I14" s="12"/>
      <c r="J14" s="17"/>
      <c r="K14" s="14">
        <v>3848.65</v>
      </c>
      <c r="L14" s="160">
        <f t="shared" si="1"/>
        <v>0</v>
      </c>
      <c r="M14" s="168"/>
      <c r="N14" s="161">
        <f t="shared" si="3"/>
        <v>0</v>
      </c>
      <c r="O14" s="17">
        <f t="shared" si="4"/>
        <v>0</v>
      </c>
      <c r="P14" s="14">
        <f t="shared" si="5"/>
        <v>3848.65</v>
      </c>
    </row>
    <row r="15" spans="1:16" x14ac:dyDescent="0.25">
      <c r="A15" s="108"/>
      <c r="B15" s="127"/>
      <c r="C15" s="101"/>
      <c r="D15" s="101"/>
      <c r="E15" s="8" t="s">
        <v>17</v>
      </c>
      <c r="F15" s="19" t="s">
        <v>24</v>
      </c>
      <c r="G15" s="10">
        <v>3454.29</v>
      </c>
      <c r="H15" s="153"/>
      <c r="I15" s="12"/>
      <c r="J15" s="13">
        <v>4783.54</v>
      </c>
      <c r="K15" s="14">
        <v>6271.39</v>
      </c>
      <c r="L15" s="160">
        <f t="shared" si="1"/>
        <v>3454.29</v>
      </c>
      <c r="M15" s="168"/>
      <c r="N15" s="161">
        <f t="shared" si="3"/>
        <v>0</v>
      </c>
      <c r="O15" s="13">
        <f t="shared" si="4"/>
        <v>4783.54</v>
      </c>
      <c r="P15" s="14">
        <f t="shared" si="5"/>
        <v>6271.39</v>
      </c>
    </row>
    <row r="16" spans="1:16" ht="13.2" customHeight="1" x14ac:dyDescent="0.25">
      <c r="A16" s="108" t="s">
        <v>134</v>
      </c>
      <c r="B16" s="125">
        <v>5</v>
      </c>
      <c r="C16" s="93" t="s">
        <v>25</v>
      </c>
      <c r="D16" s="93" t="s">
        <v>114</v>
      </c>
      <c r="E16" s="8" t="s">
        <v>22</v>
      </c>
      <c r="F16" s="19" t="s">
        <v>23</v>
      </c>
      <c r="G16" s="15"/>
      <c r="H16" s="11"/>
      <c r="I16" s="12"/>
      <c r="J16" s="17"/>
      <c r="K16" s="18"/>
      <c r="L16" s="160">
        <f t="shared" si="1"/>
        <v>0</v>
      </c>
      <c r="M16" s="40">
        <f t="shared" si="1"/>
        <v>0</v>
      </c>
      <c r="N16" s="161">
        <f t="shared" si="3"/>
        <v>0</v>
      </c>
      <c r="O16" s="17">
        <f t="shared" si="4"/>
        <v>0</v>
      </c>
      <c r="P16" s="18">
        <f t="shared" si="5"/>
        <v>0</v>
      </c>
    </row>
    <row r="17" spans="1:16" x14ac:dyDescent="0.25">
      <c r="A17" s="108"/>
      <c r="B17" s="126"/>
      <c r="C17" s="94"/>
      <c r="D17" s="94"/>
      <c r="E17" s="8" t="s">
        <v>12</v>
      </c>
      <c r="F17" s="19" t="s">
        <v>23</v>
      </c>
      <c r="G17" s="10">
        <v>218.98</v>
      </c>
      <c r="H17" s="29"/>
      <c r="I17" s="12"/>
      <c r="J17" s="17"/>
      <c r="K17" s="14">
        <v>109.24</v>
      </c>
      <c r="L17" s="10">
        <f t="shared" si="1"/>
        <v>218.98</v>
      </c>
      <c r="M17" s="162">
        <f t="shared" si="1"/>
        <v>0</v>
      </c>
      <c r="N17" s="12">
        <f t="shared" si="3"/>
        <v>0</v>
      </c>
      <c r="O17" s="17">
        <f t="shared" si="4"/>
        <v>0</v>
      </c>
      <c r="P17" s="14">
        <f t="shared" si="5"/>
        <v>109.24</v>
      </c>
    </row>
    <row r="18" spans="1:16" x14ac:dyDescent="0.25">
      <c r="A18" s="108"/>
      <c r="B18" s="126"/>
      <c r="C18" s="94"/>
      <c r="D18" s="94"/>
      <c r="E18" s="8" t="s">
        <v>13</v>
      </c>
      <c r="F18" s="19" t="s">
        <v>23</v>
      </c>
      <c r="G18" s="25" t="s">
        <v>45</v>
      </c>
      <c r="H18" s="149">
        <v>2803.66</v>
      </c>
      <c r="I18" s="12"/>
      <c r="J18" s="17"/>
      <c r="K18" s="14">
        <v>6077.32</v>
      </c>
      <c r="L18" s="10">
        <f t="shared" si="1"/>
        <v>0</v>
      </c>
      <c r="M18" s="167">
        <f t="shared" si="1"/>
        <v>2803.66</v>
      </c>
      <c r="N18" s="12">
        <f t="shared" si="3"/>
        <v>0</v>
      </c>
      <c r="O18" s="17">
        <f t="shared" si="4"/>
        <v>0</v>
      </c>
      <c r="P18" s="14">
        <f t="shared" si="5"/>
        <v>6077.32</v>
      </c>
    </row>
    <row r="19" spans="1:16" x14ac:dyDescent="0.25">
      <c r="A19" s="108"/>
      <c r="B19" s="127"/>
      <c r="C19" s="95"/>
      <c r="D19" s="95"/>
      <c r="E19" s="8" t="s">
        <v>17</v>
      </c>
      <c r="F19" s="19" t="s">
        <v>24</v>
      </c>
      <c r="G19" s="10">
        <v>31665.49</v>
      </c>
      <c r="H19" s="150"/>
      <c r="I19" s="12"/>
      <c r="J19" s="13">
        <v>15997.18</v>
      </c>
      <c r="K19" s="14">
        <v>17089.86</v>
      </c>
      <c r="L19" s="10">
        <f t="shared" si="1"/>
        <v>31665.49</v>
      </c>
      <c r="M19" s="169"/>
      <c r="N19" s="12">
        <f t="shared" si="3"/>
        <v>0</v>
      </c>
      <c r="O19" s="13">
        <f t="shared" si="4"/>
        <v>15997.18</v>
      </c>
      <c r="P19" s="14">
        <f t="shared" si="5"/>
        <v>17089.86</v>
      </c>
    </row>
    <row r="20" spans="1:16" x14ac:dyDescent="0.25">
      <c r="A20" s="108" t="s">
        <v>134</v>
      </c>
      <c r="B20" s="125">
        <v>6</v>
      </c>
      <c r="C20" s="93" t="s">
        <v>27</v>
      </c>
      <c r="D20" s="96" t="s">
        <v>28</v>
      </c>
      <c r="E20" s="84" t="s">
        <v>11</v>
      </c>
      <c r="F20" s="85"/>
      <c r="G20" s="15"/>
      <c r="H20" s="29"/>
      <c r="I20" s="12"/>
      <c r="J20" s="13">
        <v>54.54</v>
      </c>
      <c r="K20" s="18"/>
      <c r="L20" s="10">
        <f t="shared" si="1"/>
        <v>0</v>
      </c>
      <c r="M20" s="11">
        <f t="shared" si="1"/>
        <v>0</v>
      </c>
      <c r="N20" s="12">
        <f t="shared" si="3"/>
        <v>0</v>
      </c>
      <c r="O20" s="13">
        <f t="shared" si="4"/>
        <v>54.54</v>
      </c>
      <c r="P20" s="18">
        <f t="shared" si="5"/>
        <v>0</v>
      </c>
    </row>
    <row r="21" spans="1:16" x14ac:dyDescent="0.25">
      <c r="A21" s="108"/>
      <c r="B21" s="126"/>
      <c r="C21" s="94"/>
      <c r="D21" s="97"/>
      <c r="E21" s="86" t="s">
        <v>16</v>
      </c>
      <c r="F21" s="87"/>
      <c r="G21" s="160">
        <v>232.67</v>
      </c>
      <c r="H21" s="164">
        <v>121.48</v>
      </c>
      <c r="I21" s="161"/>
      <c r="J21" s="17"/>
      <c r="K21" s="14">
        <v>161.25</v>
      </c>
      <c r="L21" s="10">
        <f t="shared" si="1"/>
        <v>232.67</v>
      </c>
      <c r="M21" s="167">
        <f t="shared" si="1"/>
        <v>121.48</v>
      </c>
      <c r="N21" s="161">
        <f t="shared" si="3"/>
        <v>0</v>
      </c>
      <c r="O21" s="17">
        <f t="shared" si="4"/>
        <v>0</v>
      </c>
      <c r="P21" s="14">
        <f t="shared" si="5"/>
        <v>161.25</v>
      </c>
    </row>
    <row r="22" spans="1:16" x14ac:dyDescent="0.25">
      <c r="A22" s="108"/>
      <c r="B22" s="126"/>
      <c r="C22" s="94"/>
      <c r="D22" s="97"/>
      <c r="E22" s="88" t="s">
        <v>13</v>
      </c>
      <c r="F22" s="89"/>
      <c r="G22" s="159" t="s">
        <v>45</v>
      </c>
      <c r="H22" s="165"/>
      <c r="I22" s="161"/>
      <c r="J22" s="17"/>
      <c r="K22" s="14">
        <v>47</v>
      </c>
      <c r="L22" s="10">
        <f t="shared" si="1"/>
        <v>0</v>
      </c>
      <c r="M22" s="168"/>
      <c r="N22" s="161">
        <f t="shared" si="3"/>
        <v>0</v>
      </c>
      <c r="O22" s="17">
        <f t="shared" si="4"/>
        <v>0</v>
      </c>
      <c r="P22" s="14">
        <f t="shared" si="5"/>
        <v>47</v>
      </c>
    </row>
    <row r="23" spans="1:16" x14ac:dyDescent="0.25">
      <c r="A23" s="108"/>
      <c r="B23" s="127"/>
      <c r="C23" s="95"/>
      <c r="D23" s="98"/>
      <c r="E23" s="88" t="s">
        <v>17</v>
      </c>
      <c r="F23" s="89"/>
      <c r="G23" s="160">
        <v>81</v>
      </c>
      <c r="H23" s="166"/>
      <c r="I23" s="161"/>
      <c r="J23" s="17"/>
      <c r="K23" s="14">
        <v>31</v>
      </c>
      <c r="L23" s="10">
        <f t="shared" si="1"/>
        <v>81</v>
      </c>
      <c r="M23" s="169"/>
      <c r="N23" s="161">
        <f t="shared" si="3"/>
        <v>0</v>
      </c>
      <c r="O23" s="17">
        <f t="shared" si="4"/>
        <v>0</v>
      </c>
      <c r="P23" s="14">
        <f t="shared" si="5"/>
        <v>31</v>
      </c>
    </row>
    <row r="24" spans="1:16" x14ac:dyDescent="0.25">
      <c r="A24" s="108" t="s">
        <v>134</v>
      </c>
      <c r="B24" s="125">
        <v>7</v>
      </c>
      <c r="C24" s="90" t="s">
        <v>29</v>
      </c>
      <c r="D24" s="81" t="s">
        <v>30</v>
      </c>
      <c r="E24" s="84" t="s">
        <v>11</v>
      </c>
      <c r="F24" s="85"/>
      <c r="G24" s="15"/>
      <c r="H24" s="163">
        <v>98.71</v>
      </c>
      <c r="I24" s="12"/>
      <c r="J24" s="13">
        <v>99.73</v>
      </c>
      <c r="K24" s="18"/>
      <c r="L24" s="10">
        <f t="shared" si="1"/>
        <v>0</v>
      </c>
      <c r="M24" s="11">
        <f t="shared" si="1"/>
        <v>98.71</v>
      </c>
      <c r="N24" s="12">
        <f t="shared" si="3"/>
        <v>0</v>
      </c>
      <c r="O24" s="13">
        <f t="shared" si="4"/>
        <v>99.73</v>
      </c>
      <c r="P24" s="18">
        <f t="shared" si="5"/>
        <v>0</v>
      </c>
    </row>
    <row r="25" spans="1:16" x14ac:dyDescent="0.25">
      <c r="A25" s="108"/>
      <c r="B25" s="126"/>
      <c r="C25" s="91"/>
      <c r="D25" s="82"/>
      <c r="E25" s="86" t="s">
        <v>16</v>
      </c>
      <c r="F25" s="87"/>
      <c r="G25" s="10">
        <v>99.83</v>
      </c>
      <c r="H25" s="11"/>
      <c r="I25" s="12"/>
      <c r="J25" s="17"/>
      <c r="K25" s="14">
        <v>97.96</v>
      </c>
      <c r="L25" s="10">
        <f t="shared" si="1"/>
        <v>99.83</v>
      </c>
      <c r="M25" s="11">
        <f t="shared" si="1"/>
        <v>0</v>
      </c>
      <c r="N25" s="12">
        <f t="shared" si="3"/>
        <v>0</v>
      </c>
      <c r="O25" s="17">
        <f t="shared" si="4"/>
        <v>0</v>
      </c>
      <c r="P25" s="14">
        <f t="shared" si="5"/>
        <v>97.96</v>
      </c>
    </row>
    <row r="26" spans="1:16" x14ac:dyDescent="0.25">
      <c r="A26" s="108"/>
      <c r="B26" s="126"/>
      <c r="C26" s="91"/>
      <c r="D26" s="82"/>
      <c r="E26" s="88" t="s">
        <v>13</v>
      </c>
      <c r="F26" s="89"/>
      <c r="G26" s="25" t="s">
        <v>45</v>
      </c>
      <c r="H26" s="11"/>
      <c r="I26" s="12"/>
      <c r="J26" s="17"/>
      <c r="K26" s="14">
        <v>96.71</v>
      </c>
      <c r="L26" s="10">
        <f t="shared" si="1"/>
        <v>0</v>
      </c>
      <c r="M26" s="11">
        <f t="shared" si="1"/>
        <v>0</v>
      </c>
      <c r="N26" s="12">
        <f t="shared" si="3"/>
        <v>0</v>
      </c>
      <c r="O26" s="17">
        <f t="shared" si="4"/>
        <v>0</v>
      </c>
      <c r="P26" s="14">
        <f t="shared" si="5"/>
        <v>96.71</v>
      </c>
    </row>
    <row r="27" spans="1:16" x14ac:dyDescent="0.25">
      <c r="A27" s="108"/>
      <c r="B27" s="127"/>
      <c r="C27" s="92"/>
      <c r="D27" s="83"/>
      <c r="E27" s="88" t="s">
        <v>17</v>
      </c>
      <c r="F27" s="89"/>
      <c r="G27" s="10">
        <v>98.56</v>
      </c>
      <c r="H27" s="11"/>
      <c r="I27" s="12"/>
      <c r="J27" s="17"/>
      <c r="K27" s="14">
        <v>99.65</v>
      </c>
      <c r="L27" s="10">
        <f t="shared" si="1"/>
        <v>98.56</v>
      </c>
      <c r="M27" s="11">
        <f t="shared" si="1"/>
        <v>0</v>
      </c>
      <c r="N27" s="12">
        <f t="shared" si="3"/>
        <v>0</v>
      </c>
      <c r="O27" s="17">
        <f t="shared" si="4"/>
        <v>0</v>
      </c>
      <c r="P27" s="14">
        <f t="shared" si="5"/>
        <v>99.65</v>
      </c>
    </row>
    <row r="28" spans="1:16" x14ac:dyDescent="0.25">
      <c r="A28" s="108" t="s">
        <v>134</v>
      </c>
      <c r="B28" s="125">
        <v>8</v>
      </c>
      <c r="C28" s="78" t="s">
        <v>31</v>
      </c>
      <c r="D28" s="81" t="s">
        <v>32</v>
      </c>
      <c r="E28" s="84" t="s">
        <v>11</v>
      </c>
      <c r="F28" s="85"/>
      <c r="G28" s="15"/>
      <c r="H28" s="16">
        <v>1.57</v>
      </c>
      <c r="I28" s="12"/>
      <c r="J28" s="13">
        <v>0.28000000000000003</v>
      </c>
      <c r="K28" s="18"/>
      <c r="L28" s="10">
        <f t="shared" si="1"/>
        <v>0</v>
      </c>
      <c r="M28" s="11">
        <f t="shared" si="1"/>
        <v>1.57</v>
      </c>
      <c r="N28" s="12">
        <f t="shared" si="3"/>
        <v>0</v>
      </c>
      <c r="O28" s="13">
        <f t="shared" si="4"/>
        <v>0.28000000000000003</v>
      </c>
      <c r="P28" s="18">
        <f t="shared" si="5"/>
        <v>0</v>
      </c>
    </row>
    <row r="29" spans="1:16" x14ac:dyDescent="0.25">
      <c r="A29" s="108"/>
      <c r="B29" s="126"/>
      <c r="C29" s="79"/>
      <c r="D29" s="82"/>
      <c r="E29" s="86" t="s">
        <v>16</v>
      </c>
      <c r="F29" s="87"/>
      <c r="G29" s="10">
        <v>0.71</v>
      </c>
      <c r="H29" s="11"/>
      <c r="I29" s="12"/>
      <c r="J29" s="17"/>
      <c r="K29" s="14">
        <v>3.44</v>
      </c>
      <c r="L29" s="10">
        <f t="shared" si="1"/>
        <v>0.71</v>
      </c>
      <c r="M29" s="11">
        <f t="shared" si="1"/>
        <v>0</v>
      </c>
      <c r="N29" s="12">
        <f t="shared" si="3"/>
        <v>0</v>
      </c>
      <c r="O29" s="17">
        <f t="shared" si="4"/>
        <v>0</v>
      </c>
      <c r="P29" s="14">
        <f t="shared" si="5"/>
        <v>3.44</v>
      </c>
    </row>
    <row r="30" spans="1:16" x14ac:dyDescent="0.25">
      <c r="A30" s="108"/>
      <c r="B30" s="126"/>
      <c r="C30" s="79"/>
      <c r="D30" s="82"/>
      <c r="E30" s="88" t="s">
        <v>13</v>
      </c>
      <c r="F30" s="89"/>
      <c r="G30" s="25" t="s">
        <v>45</v>
      </c>
      <c r="H30" s="11"/>
      <c r="I30" s="12"/>
      <c r="J30" s="17"/>
      <c r="K30" s="14">
        <v>0.35</v>
      </c>
      <c r="L30" s="10">
        <f t="shared" si="1"/>
        <v>0</v>
      </c>
      <c r="M30" s="11">
        <f t="shared" si="1"/>
        <v>0</v>
      </c>
      <c r="N30" s="12">
        <f t="shared" si="3"/>
        <v>0</v>
      </c>
      <c r="O30" s="17">
        <f t="shared" si="4"/>
        <v>0</v>
      </c>
      <c r="P30" s="14">
        <f t="shared" si="5"/>
        <v>0.35</v>
      </c>
    </row>
    <row r="31" spans="1:16" x14ac:dyDescent="0.25">
      <c r="A31" s="108"/>
      <c r="B31" s="127"/>
      <c r="C31" s="80"/>
      <c r="D31" s="83"/>
      <c r="E31" s="88" t="s">
        <v>17</v>
      </c>
      <c r="F31" s="89"/>
      <c r="G31" s="10">
        <v>0.09</v>
      </c>
      <c r="H31" s="11"/>
      <c r="I31" s="12"/>
      <c r="J31" s="17"/>
      <c r="K31" s="14">
        <v>0.28999999999999998</v>
      </c>
      <c r="L31" s="10">
        <f t="shared" si="1"/>
        <v>0.09</v>
      </c>
      <c r="M31" s="11">
        <f t="shared" si="1"/>
        <v>0</v>
      </c>
      <c r="N31" s="12">
        <f t="shared" si="3"/>
        <v>0</v>
      </c>
      <c r="O31" s="17">
        <f t="shared" si="4"/>
        <v>0</v>
      </c>
      <c r="P31" s="14">
        <f t="shared" si="5"/>
        <v>0.28999999999999998</v>
      </c>
    </row>
  </sheetData>
  <mergeCells count="61">
    <mergeCell ref="E4:F4"/>
    <mergeCell ref="E5:F5"/>
    <mergeCell ref="M13:M15"/>
    <mergeCell ref="M18:M19"/>
    <mergeCell ref="M21:M23"/>
    <mergeCell ref="B2:B3"/>
    <mergeCell ref="C2:C3"/>
    <mergeCell ref="D2:D3"/>
    <mergeCell ref="E2:F2"/>
    <mergeCell ref="E3:F3"/>
    <mergeCell ref="B12:B15"/>
    <mergeCell ref="C12:C15"/>
    <mergeCell ref="D12:D15"/>
    <mergeCell ref="H13:H15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H18:H19"/>
    <mergeCell ref="B20:B23"/>
    <mergeCell ref="C20:C23"/>
    <mergeCell ref="D20:D23"/>
    <mergeCell ref="E20:F20"/>
    <mergeCell ref="E21:F21"/>
    <mergeCell ref="H21:H23"/>
    <mergeCell ref="B24:B27"/>
    <mergeCell ref="C24:C27"/>
    <mergeCell ref="D24:D27"/>
    <mergeCell ref="E24:F24"/>
    <mergeCell ref="E25:F25"/>
    <mergeCell ref="E26:F26"/>
    <mergeCell ref="E27:F27"/>
    <mergeCell ref="E29:F29"/>
    <mergeCell ref="E30:F30"/>
    <mergeCell ref="E31:F31"/>
    <mergeCell ref="E22:F22"/>
    <mergeCell ref="E23:F23"/>
    <mergeCell ref="A20:A23"/>
    <mergeCell ref="A24:A27"/>
    <mergeCell ref="A28:A31"/>
    <mergeCell ref="E1:F1"/>
    <mergeCell ref="A2:A3"/>
    <mergeCell ref="A4:A7"/>
    <mergeCell ref="A8:A11"/>
    <mergeCell ref="A12:A15"/>
    <mergeCell ref="A16:A19"/>
    <mergeCell ref="B16:B19"/>
    <mergeCell ref="C16:C19"/>
    <mergeCell ref="D16:D19"/>
    <mergeCell ref="B28:B31"/>
    <mergeCell ref="C28:C31"/>
    <mergeCell ref="D28:D31"/>
    <mergeCell ref="E28:F2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selection activeCell="L2" sqref="L2"/>
    </sheetView>
  </sheetViews>
  <sheetFormatPr defaultRowHeight="13.2" x14ac:dyDescent="0.25"/>
  <cols>
    <col min="1" max="1" width="16.5546875" customWidth="1"/>
    <col min="2" max="2" width="8.6640625" customWidth="1"/>
  </cols>
  <sheetData>
    <row r="1" spans="1:16" ht="40.799999999999997" x14ac:dyDescent="0.25">
      <c r="A1" s="31" t="s">
        <v>115</v>
      </c>
      <c r="B1" s="32" t="s">
        <v>0</v>
      </c>
      <c r="C1" s="66" t="s">
        <v>1</v>
      </c>
      <c r="D1" s="67" t="s">
        <v>2</v>
      </c>
      <c r="E1" s="109" t="s">
        <v>3</v>
      </c>
      <c r="F1" s="109"/>
      <c r="G1" s="34" t="s">
        <v>4</v>
      </c>
      <c r="H1" s="35" t="s">
        <v>5</v>
      </c>
      <c r="I1" s="36" t="s">
        <v>6</v>
      </c>
      <c r="J1" s="37" t="s">
        <v>7</v>
      </c>
      <c r="K1" s="38" t="s">
        <v>8</v>
      </c>
      <c r="L1" s="34" t="s">
        <v>4</v>
      </c>
      <c r="M1" s="35" t="s">
        <v>5</v>
      </c>
      <c r="N1" s="36" t="s">
        <v>6</v>
      </c>
      <c r="O1" s="37" t="s">
        <v>7</v>
      </c>
      <c r="P1" s="38" t="s">
        <v>8</v>
      </c>
    </row>
    <row r="2" spans="1:16" x14ac:dyDescent="0.25">
      <c r="A2" s="133" t="s">
        <v>136</v>
      </c>
      <c r="B2" s="110">
        <v>1</v>
      </c>
      <c r="C2" s="118" t="s">
        <v>9</v>
      </c>
      <c r="D2" s="118" t="s">
        <v>54</v>
      </c>
      <c r="E2" s="113" t="s">
        <v>11</v>
      </c>
      <c r="F2" s="113"/>
      <c r="G2" s="39">
        <v>100</v>
      </c>
      <c r="H2" s="40"/>
      <c r="I2" s="41"/>
      <c r="J2" s="42">
        <v>98.52</v>
      </c>
      <c r="K2" s="43">
        <v>99.98</v>
      </c>
      <c r="L2" s="39">
        <f>IF(OR(G2="NA", G2=0),0,(1*G2))</f>
        <v>100</v>
      </c>
      <c r="M2" s="39">
        <f t="shared" ref="M2:P2" si="0">IF(OR(H2="NA", H2=0),0,(1*H2))</f>
        <v>0</v>
      </c>
      <c r="N2" s="39">
        <f t="shared" si="0"/>
        <v>0</v>
      </c>
      <c r="O2" s="39">
        <f t="shared" si="0"/>
        <v>98.52</v>
      </c>
      <c r="P2" s="39">
        <f t="shared" si="0"/>
        <v>99.98</v>
      </c>
    </row>
    <row r="3" spans="1:16" x14ac:dyDescent="0.25">
      <c r="A3" s="132"/>
      <c r="B3" s="110"/>
      <c r="C3" s="118"/>
      <c r="D3" s="118"/>
      <c r="E3" s="114" t="s">
        <v>13</v>
      </c>
      <c r="F3" s="114"/>
      <c r="G3" s="44"/>
      <c r="H3" s="45">
        <v>96.4</v>
      </c>
      <c r="I3" s="41"/>
      <c r="J3" s="46"/>
      <c r="K3" s="47"/>
      <c r="L3" s="39">
        <f t="shared" ref="L3:L30" si="1">IF(OR(G3="NA", G3=0),0,(1*G3))</f>
        <v>0</v>
      </c>
      <c r="M3" s="39">
        <f t="shared" ref="M3:M30" si="2">IF(OR(H3="NA", H3=0),0,(1*H3))</f>
        <v>96.4</v>
      </c>
      <c r="N3" s="39">
        <f t="shared" ref="N3:N30" si="3">IF(OR(I3="NA", I3=0),0,(1*I3))</f>
        <v>0</v>
      </c>
      <c r="O3" s="39">
        <f t="shared" ref="O3:O30" si="4">IF(OR(J3="NA", J3=0),0,(1*J3))</f>
        <v>0</v>
      </c>
      <c r="P3" s="39">
        <f t="shared" ref="P3:P30" si="5">IF(OR(K3="NA", K3=0),0,(1*K3))</f>
        <v>0</v>
      </c>
    </row>
    <row r="4" spans="1:16" x14ac:dyDescent="0.25">
      <c r="A4" s="130" t="s">
        <v>136</v>
      </c>
      <c r="B4" s="110">
        <v>2</v>
      </c>
      <c r="C4" s="114" t="s">
        <v>14</v>
      </c>
      <c r="D4" s="114" t="s">
        <v>15</v>
      </c>
      <c r="E4" s="113" t="s">
        <v>11</v>
      </c>
      <c r="F4" s="113"/>
      <c r="G4" s="44"/>
      <c r="H4" s="40"/>
      <c r="I4" s="41"/>
      <c r="J4" s="42">
        <v>100</v>
      </c>
      <c r="K4" s="47"/>
      <c r="L4" s="39">
        <f t="shared" si="1"/>
        <v>0</v>
      </c>
      <c r="M4" s="39">
        <f t="shared" si="2"/>
        <v>0</v>
      </c>
      <c r="N4" s="39">
        <f t="shared" si="3"/>
        <v>0</v>
      </c>
      <c r="O4" s="39">
        <f t="shared" si="4"/>
        <v>100</v>
      </c>
      <c r="P4" s="39">
        <f t="shared" si="5"/>
        <v>0</v>
      </c>
    </row>
    <row r="5" spans="1:16" x14ac:dyDescent="0.25">
      <c r="A5" s="131"/>
      <c r="B5" s="110"/>
      <c r="C5" s="114"/>
      <c r="D5" s="114"/>
      <c r="E5" s="111" t="s">
        <v>16</v>
      </c>
      <c r="F5" s="111"/>
      <c r="G5" s="39">
        <v>100</v>
      </c>
      <c r="H5" s="40"/>
      <c r="I5" s="41"/>
      <c r="J5" s="46"/>
      <c r="K5" s="43">
        <v>100</v>
      </c>
      <c r="L5" s="39">
        <f t="shared" si="1"/>
        <v>100</v>
      </c>
      <c r="M5" s="39">
        <f t="shared" si="2"/>
        <v>0</v>
      </c>
      <c r="N5" s="39">
        <f t="shared" si="3"/>
        <v>0</v>
      </c>
      <c r="O5" s="39">
        <f t="shared" si="4"/>
        <v>0</v>
      </c>
      <c r="P5" s="39">
        <f t="shared" si="5"/>
        <v>100</v>
      </c>
    </row>
    <row r="6" spans="1:16" x14ac:dyDescent="0.25">
      <c r="A6" s="131"/>
      <c r="B6" s="110"/>
      <c r="C6" s="114"/>
      <c r="D6" s="114"/>
      <c r="E6" s="114" t="s">
        <v>13</v>
      </c>
      <c r="F6" s="114"/>
      <c r="G6" s="53" t="s">
        <v>45</v>
      </c>
      <c r="H6" s="45">
        <v>100</v>
      </c>
      <c r="I6" s="41"/>
      <c r="J6" s="46"/>
      <c r="K6" s="43">
        <v>100</v>
      </c>
      <c r="L6" s="39">
        <f t="shared" si="1"/>
        <v>0</v>
      </c>
      <c r="M6" s="39">
        <f t="shared" si="2"/>
        <v>100</v>
      </c>
      <c r="N6" s="39">
        <f t="shared" si="3"/>
        <v>0</v>
      </c>
      <c r="O6" s="39">
        <f t="shared" si="4"/>
        <v>0</v>
      </c>
      <c r="P6" s="39">
        <f t="shared" si="5"/>
        <v>100</v>
      </c>
    </row>
    <row r="7" spans="1:16" x14ac:dyDescent="0.25">
      <c r="A7" s="132"/>
      <c r="B7" s="110"/>
      <c r="C7" s="114"/>
      <c r="D7" s="114"/>
      <c r="E7" s="114" t="s">
        <v>17</v>
      </c>
      <c r="F7" s="114"/>
      <c r="G7" s="39">
        <v>100</v>
      </c>
      <c r="H7" s="40"/>
      <c r="I7" s="41"/>
      <c r="J7" s="46"/>
      <c r="K7" s="43">
        <v>100</v>
      </c>
      <c r="L7" s="39">
        <f t="shared" si="1"/>
        <v>100</v>
      </c>
      <c r="M7" s="39">
        <f t="shared" si="2"/>
        <v>0</v>
      </c>
      <c r="N7" s="39">
        <f t="shared" si="3"/>
        <v>0</v>
      </c>
      <c r="O7" s="39">
        <f t="shared" si="4"/>
        <v>0</v>
      </c>
      <c r="P7" s="39">
        <f t="shared" si="5"/>
        <v>100</v>
      </c>
    </row>
    <row r="8" spans="1:16" x14ac:dyDescent="0.25">
      <c r="A8" s="130" t="s">
        <v>136</v>
      </c>
      <c r="B8" s="110">
        <v>3</v>
      </c>
      <c r="C8" s="114" t="s">
        <v>18</v>
      </c>
      <c r="D8" s="114" t="s">
        <v>19</v>
      </c>
      <c r="E8" s="113" t="s">
        <v>11</v>
      </c>
      <c r="F8" s="113"/>
      <c r="G8" s="44"/>
      <c r="H8" s="40"/>
      <c r="I8" s="41"/>
      <c r="J8" s="42">
        <v>100</v>
      </c>
      <c r="K8" s="47"/>
      <c r="L8" s="39">
        <f t="shared" si="1"/>
        <v>0</v>
      </c>
      <c r="M8" s="39">
        <f t="shared" si="2"/>
        <v>0</v>
      </c>
      <c r="N8" s="39">
        <f t="shared" si="3"/>
        <v>0</v>
      </c>
      <c r="O8" s="39">
        <f t="shared" si="4"/>
        <v>100</v>
      </c>
      <c r="P8" s="39">
        <f t="shared" si="5"/>
        <v>0</v>
      </c>
    </row>
    <row r="9" spans="1:16" x14ac:dyDescent="0.25">
      <c r="A9" s="131"/>
      <c r="B9" s="110"/>
      <c r="C9" s="114"/>
      <c r="D9" s="114"/>
      <c r="E9" s="111" t="s">
        <v>16</v>
      </c>
      <c r="F9" s="111"/>
      <c r="G9" s="39">
        <v>100</v>
      </c>
      <c r="H9" s="40"/>
      <c r="I9" s="41"/>
      <c r="J9" s="46"/>
      <c r="K9" s="43">
        <v>100</v>
      </c>
      <c r="L9" s="39">
        <f t="shared" si="1"/>
        <v>100</v>
      </c>
      <c r="M9" s="39">
        <f t="shared" si="2"/>
        <v>0</v>
      </c>
      <c r="N9" s="39">
        <f t="shared" si="3"/>
        <v>0</v>
      </c>
      <c r="O9" s="39">
        <f t="shared" si="4"/>
        <v>0</v>
      </c>
      <c r="P9" s="39">
        <f t="shared" si="5"/>
        <v>100</v>
      </c>
    </row>
    <row r="10" spans="1:16" x14ac:dyDescent="0.25">
      <c r="A10" s="131"/>
      <c r="B10" s="110"/>
      <c r="C10" s="114"/>
      <c r="D10" s="114"/>
      <c r="E10" s="114" t="s">
        <v>13</v>
      </c>
      <c r="F10" s="114"/>
      <c r="G10" s="53" t="s">
        <v>45</v>
      </c>
      <c r="H10" s="45">
        <v>100</v>
      </c>
      <c r="I10" s="41"/>
      <c r="J10" s="46"/>
      <c r="K10" s="43">
        <v>100</v>
      </c>
      <c r="L10" s="39">
        <f t="shared" si="1"/>
        <v>0</v>
      </c>
      <c r="M10" s="39">
        <f t="shared" si="2"/>
        <v>100</v>
      </c>
      <c r="N10" s="39">
        <f t="shared" si="3"/>
        <v>0</v>
      </c>
      <c r="O10" s="39">
        <f t="shared" si="4"/>
        <v>0</v>
      </c>
      <c r="P10" s="39">
        <f t="shared" si="5"/>
        <v>100</v>
      </c>
    </row>
    <row r="11" spans="1:16" x14ac:dyDescent="0.25">
      <c r="A11" s="132"/>
      <c r="B11" s="110"/>
      <c r="C11" s="114"/>
      <c r="D11" s="114"/>
      <c r="E11" s="114" t="s">
        <v>17</v>
      </c>
      <c r="F11" s="114"/>
      <c r="G11" s="39">
        <v>100</v>
      </c>
      <c r="H11" s="40"/>
      <c r="I11" s="41"/>
      <c r="J11" s="46"/>
      <c r="K11" s="43">
        <v>100</v>
      </c>
      <c r="L11" s="39">
        <f t="shared" si="1"/>
        <v>100</v>
      </c>
      <c r="M11" s="39">
        <f t="shared" si="2"/>
        <v>0</v>
      </c>
      <c r="N11" s="39">
        <f t="shared" si="3"/>
        <v>0</v>
      </c>
      <c r="O11" s="39">
        <f t="shared" si="4"/>
        <v>0</v>
      </c>
      <c r="P11" s="39">
        <f t="shared" si="5"/>
        <v>100</v>
      </c>
    </row>
    <row r="12" spans="1:16" x14ac:dyDescent="0.25">
      <c r="A12" s="130" t="s">
        <v>136</v>
      </c>
      <c r="B12" s="110">
        <v>4</v>
      </c>
      <c r="C12" s="117" t="s">
        <v>20</v>
      </c>
      <c r="D12" s="117" t="s">
        <v>21</v>
      </c>
      <c r="E12" s="115" t="s">
        <v>22</v>
      </c>
      <c r="F12" s="50" t="s">
        <v>23</v>
      </c>
      <c r="G12" s="44"/>
      <c r="H12" s="40"/>
      <c r="I12" s="41"/>
      <c r="J12" s="46"/>
      <c r="K12" s="47"/>
      <c r="L12" s="39">
        <f t="shared" si="1"/>
        <v>0</v>
      </c>
      <c r="M12" s="39">
        <f t="shared" si="2"/>
        <v>0</v>
      </c>
      <c r="N12" s="39">
        <f t="shared" si="3"/>
        <v>0</v>
      </c>
      <c r="O12" s="39">
        <f t="shared" si="4"/>
        <v>0</v>
      </c>
      <c r="P12" s="39">
        <f t="shared" si="5"/>
        <v>0</v>
      </c>
    </row>
    <row r="13" spans="1:16" x14ac:dyDescent="0.25">
      <c r="A13" s="131"/>
      <c r="B13" s="110"/>
      <c r="C13" s="117"/>
      <c r="D13" s="117"/>
      <c r="E13" s="115"/>
      <c r="F13" s="50" t="s">
        <v>92</v>
      </c>
      <c r="G13" s="44"/>
      <c r="H13" s="40"/>
      <c r="I13" s="41"/>
      <c r="J13" s="46"/>
      <c r="K13" s="47"/>
      <c r="L13" s="39">
        <f t="shared" si="1"/>
        <v>0</v>
      </c>
      <c r="M13" s="39">
        <f t="shared" si="2"/>
        <v>0</v>
      </c>
      <c r="N13" s="39">
        <f t="shared" si="3"/>
        <v>0</v>
      </c>
      <c r="O13" s="39">
        <f t="shared" si="4"/>
        <v>0</v>
      </c>
      <c r="P13" s="39">
        <f t="shared" si="5"/>
        <v>0</v>
      </c>
    </row>
    <row r="14" spans="1:16" x14ac:dyDescent="0.25">
      <c r="A14" s="131"/>
      <c r="B14" s="110"/>
      <c r="C14" s="117"/>
      <c r="D14" s="117"/>
      <c r="E14" s="49" t="s">
        <v>12</v>
      </c>
      <c r="F14" s="50" t="s">
        <v>23</v>
      </c>
      <c r="G14" s="39">
        <v>105.18</v>
      </c>
      <c r="H14" s="45">
        <v>3133</v>
      </c>
      <c r="I14" s="41"/>
      <c r="J14" s="46"/>
      <c r="K14" s="43">
        <v>117.14</v>
      </c>
      <c r="L14" s="39">
        <f t="shared" si="1"/>
        <v>105.18</v>
      </c>
      <c r="M14" s="39">
        <f t="shared" si="2"/>
        <v>3133</v>
      </c>
      <c r="N14" s="39">
        <f t="shared" si="3"/>
        <v>0</v>
      </c>
      <c r="O14" s="39">
        <f t="shared" si="4"/>
        <v>0</v>
      </c>
      <c r="P14" s="39">
        <f t="shared" si="5"/>
        <v>117.14</v>
      </c>
    </row>
    <row r="15" spans="1:16" x14ac:dyDescent="0.25">
      <c r="A15" s="131"/>
      <c r="B15" s="110"/>
      <c r="C15" s="117"/>
      <c r="D15" s="117"/>
      <c r="E15" s="49" t="s">
        <v>13</v>
      </c>
      <c r="F15" s="50" t="s">
        <v>23</v>
      </c>
      <c r="G15" s="53" t="s">
        <v>45</v>
      </c>
      <c r="H15" s="45">
        <v>3507</v>
      </c>
      <c r="I15" s="41"/>
      <c r="J15" s="46"/>
      <c r="K15" s="43">
        <v>3309.79</v>
      </c>
      <c r="L15" s="39">
        <f t="shared" si="1"/>
        <v>0</v>
      </c>
      <c r="M15" s="39">
        <f t="shared" si="2"/>
        <v>3507</v>
      </c>
      <c r="N15" s="39">
        <f t="shared" si="3"/>
        <v>0</v>
      </c>
      <c r="O15" s="39">
        <f t="shared" si="4"/>
        <v>0</v>
      </c>
      <c r="P15" s="39">
        <f t="shared" si="5"/>
        <v>3309.79</v>
      </c>
    </row>
    <row r="16" spans="1:16" x14ac:dyDescent="0.25">
      <c r="A16" s="132"/>
      <c r="B16" s="110"/>
      <c r="C16" s="117"/>
      <c r="D16" s="117"/>
      <c r="E16" s="49" t="s">
        <v>17</v>
      </c>
      <c r="F16" s="50" t="s">
        <v>24</v>
      </c>
      <c r="G16" s="39">
        <v>19510.560000000001</v>
      </c>
      <c r="H16" s="40"/>
      <c r="I16" s="41"/>
      <c r="J16" s="42">
        <v>12656.71</v>
      </c>
      <c r="K16" s="43">
        <v>15602.92</v>
      </c>
      <c r="L16" s="39">
        <f t="shared" si="1"/>
        <v>19510.560000000001</v>
      </c>
      <c r="M16" s="39">
        <f t="shared" si="2"/>
        <v>0</v>
      </c>
      <c r="N16" s="39">
        <f t="shared" si="3"/>
        <v>0</v>
      </c>
      <c r="O16" s="39">
        <f t="shared" si="4"/>
        <v>12656.71</v>
      </c>
      <c r="P16" s="39">
        <f t="shared" si="5"/>
        <v>15602.92</v>
      </c>
    </row>
    <row r="17" spans="1:16" x14ac:dyDescent="0.25">
      <c r="A17" s="130" t="s">
        <v>136</v>
      </c>
      <c r="B17" s="110">
        <v>5</v>
      </c>
      <c r="C17" s="117" t="s">
        <v>25</v>
      </c>
      <c r="D17" s="117" t="s">
        <v>26</v>
      </c>
      <c r="E17" s="49" t="s">
        <v>22</v>
      </c>
      <c r="F17" s="50" t="s">
        <v>23</v>
      </c>
      <c r="G17" s="44"/>
      <c r="H17" s="40"/>
      <c r="I17" s="41"/>
      <c r="J17" s="46"/>
      <c r="K17" s="47"/>
      <c r="L17" s="39">
        <f t="shared" si="1"/>
        <v>0</v>
      </c>
      <c r="M17" s="39">
        <f t="shared" si="2"/>
        <v>0</v>
      </c>
      <c r="N17" s="39">
        <f t="shared" si="3"/>
        <v>0</v>
      </c>
      <c r="O17" s="39">
        <f t="shared" si="4"/>
        <v>0</v>
      </c>
      <c r="P17" s="39">
        <f t="shared" si="5"/>
        <v>0</v>
      </c>
    </row>
    <row r="18" spans="1:16" x14ac:dyDescent="0.25">
      <c r="A18" s="131"/>
      <c r="B18" s="110"/>
      <c r="C18" s="117"/>
      <c r="D18" s="117"/>
      <c r="E18" s="49" t="s">
        <v>12</v>
      </c>
      <c r="F18" s="50" t="s">
        <v>23</v>
      </c>
      <c r="G18" s="39">
        <v>124.41</v>
      </c>
      <c r="H18" s="45">
        <v>3967</v>
      </c>
      <c r="I18" s="41"/>
      <c r="J18" s="46"/>
      <c r="K18" s="43">
        <v>154.99</v>
      </c>
      <c r="L18" s="39">
        <f t="shared" si="1"/>
        <v>124.41</v>
      </c>
      <c r="M18" s="39">
        <f t="shared" si="2"/>
        <v>3967</v>
      </c>
      <c r="N18" s="39">
        <f t="shared" si="3"/>
        <v>0</v>
      </c>
      <c r="O18" s="39">
        <f t="shared" si="4"/>
        <v>0</v>
      </c>
      <c r="P18" s="39">
        <f t="shared" si="5"/>
        <v>154.99</v>
      </c>
    </row>
    <row r="19" spans="1:16" x14ac:dyDescent="0.25">
      <c r="A19" s="131"/>
      <c r="B19" s="110"/>
      <c r="C19" s="117"/>
      <c r="D19" s="117"/>
      <c r="E19" s="49" t="s">
        <v>13</v>
      </c>
      <c r="F19" s="50" t="s">
        <v>23</v>
      </c>
      <c r="G19" s="53" t="s">
        <v>45</v>
      </c>
      <c r="H19" s="45">
        <v>4232</v>
      </c>
      <c r="I19" s="41"/>
      <c r="J19" s="46"/>
      <c r="K19" s="43">
        <v>5062.51</v>
      </c>
      <c r="L19" s="39">
        <f t="shared" si="1"/>
        <v>0</v>
      </c>
      <c r="M19" s="39">
        <f t="shared" si="2"/>
        <v>4232</v>
      </c>
      <c r="N19" s="39">
        <f t="shared" si="3"/>
        <v>0</v>
      </c>
      <c r="O19" s="39">
        <f t="shared" si="4"/>
        <v>0</v>
      </c>
      <c r="P19" s="39">
        <f t="shared" si="5"/>
        <v>5062.51</v>
      </c>
    </row>
    <row r="20" spans="1:16" x14ac:dyDescent="0.25">
      <c r="A20" s="132"/>
      <c r="B20" s="110"/>
      <c r="C20" s="117"/>
      <c r="D20" s="117"/>
      <c r="E20" s="49" t="s">
        <v>17</v>
      </c>
      <c r="F20" s="50" t="s">
        <v>24</v>
      </c>
      <c r="G20" s="39">
        <v>25135.1</v>
      </c>
      <c r="H20" s="40"/>
      <c r="I20" s="41"/>
      <c r="J20" s="42">
        <v>23980.74</v>
      </c>
      <c r="K20" s="43">
        <v>24914.799999999999</v>
      </c>
      <c r="L20" s="39">
        <f t="shared" si="1"/>
        <v>25135.1</v>
      </c>
      <c r="M20" s="39">
        <f t="shared" si="2"/>
        <v>0</v>
      </c>
      <c r="N20" s="39">
        <f t="shared" si="3"/>
        <v>0</v>
      </c>
      <c r="O20" s="39">
        <f t="shared" si="4"/>
        <v>23980.74</v>
      </c>
      <c r="P20" s="39">
        <f t="shared" si="5"/>
        <v>24914.799999999999</v>
      </c>
    </row>
    <row r="21" spans="1:16" ht="13.2" customHeight="1" x14ac:dyDescent="0.25">
      <c r="A21" s="130" t="s">
        <v>136</v>
      </c>
      <c r="B21" s="140" t="s">
        <v>135</v>
      </c>
      <c r="C21" s="114" t="s">
        <v>27</v>
      </c>
      <c r="D21" s="113" t="s">
        <v>28</v>
      </c>
      <c r="E21" s="113" t="s">
        <v>11</v>
      </c>
      <c r="F21" s="113"/>
      <c r="G21" s="44"/>
      <c r="H21" s="40"/>
      <c r="I21" s="41"/>
      <c r="J21" s="42">
        <v>51.42</v>
      </c>
      <c r="K21" s="47"/>
      <c r="L21" s="39">
        <f t="shared" si="1"/>
        <v>0</v>
      </c>
      <c r="M21" s="39">
        <f t="shared" si="2"/>
        <v>0</v>
      </c>
      <c r="N21" s="39">
        <f t="shared" si="3"/>
        <v>0</v>
      </c>
      <c r="O21" s="39">
        <f t="shared" si="4"/>
        <v>51.42</v>
      </c>
      <c r="P21" s="39">
        <f t="shared" si="5"/>
        <v>0</v>
      </c>
    </row>
    <row r="22" spans="1:16" x14ac:dyDescent="0.25">
      <c r="A22" s="131"/>
      <c r="B22" s="154"/>
      <c r="C22" s="114"/>
      <c r="D22" s="113"/>
      <c r="E22" s="111" t="s">
        <v>16</v>
      </c>
      <c r="F22" s="111"/>
      <c r="G22" s="39">
        <v>164.67</v>
      </c>
      <c r="H22" s="40"/>
      <c r="I22" s="41"/>
      <c r="J22" s="46"/>
      <c r="K22" s="43">
        <v>158</v>
      </c>
      <c r="L22" s="39">
        <f t="shared" si="1"/>
        <v>164.67</v>
      </c>
      <c r="M22" s="39">
        <f t="shared" si="2"/>
        <v>0</v>
      </c>
      <c r="N22" s="39">
        <f t="shared" si="3"/>
        <v>0</v>
      </c>
      <c r="O22" s="39">
        <f t="shared" si="4"/>
        <v>0</v>
      </c>
      <c r="P22" s="39">
        <f t="shared" si="5"/>
        <v>158</v>
      </c>
    </row>
    <row r="23" spans="1:16" x14ac:dyDescent="0.25">
      <c r="A23" s="131"/>
      <c r="B23" s="154"/>
      <c r="C23" s="114"/>
      <c r="D23" s="113"/>
      <c r="E23" s="114" t="s">
        <v>13</v>
      </c>
      <c r="F23" s="114"/>
      <c r="G23" s="53" t="s">
        <v>45</v>
      </c>
      <c r="H23" s="45">
        <v>176</v>
      </c>
      <c r="I23" s="41"/>
      <c r="J23" s="46"/>
      <c r="K23" s="43">
        <v>82.33</v>
      </c>
      <c r="L23" s="39">
        <f t="shared" si="1"/>
        <v>0</v>
      </c>
      <c r="M23" s="39">
        <f t="shared" si="2"/>
        <v>176</v>
      </c>
      <c r="N23" s="39">
        <f t="shared" si="3"/>
        <v>0</v>
      </c>
      <c r="O23" s="39">
        <f t="shared" si="4"/>
        <v>0</v>
      </c>
      <c r="P23" s="39">
        <f t="shared" si="5"/>
        <v>82.33</v>
      </c>
    </row>
    <row r="24" spans="1:16" x14ac:dyDescent="0.25">
      <c r="A24" s="132"/>
      <c r="B24" s="155"/>
      <c r="C24" s="114"/>
      <c r="D24" s="113"/>
      <c r="E24" s="114" t="s">
        <v>17</v>
      </c>
      <c r="F24" s="114"/>
      <c r="G24" s="39">
        <v>39</v>
      </c>
      <c r="H24" s="40"/>
      <c r="I24" s="41"/>
      <c r="J24" s="46"/>
      <c r="K24" s="43">
        <v>41.33</v>
      </c>
      <c r="L24" s="39">
        <f t="shared" si="1"/>
        <v>39</v>
      </c>
      <c r="M24" s="39">
        <f t="shared" si="2"/>
        <v>0</v>
      </c>
      <c r="N24" s="39">
        <f t="shared" si="3"/>
        <v>0</v>
      </c>
      <c r="O24" s="39">
        <f t="shared" si="4"/>
        <v>0</v>
      </c>
      <c r="P24" s="39">
        <f t="shared" si="5"/>
        <v>41.33</v>
      </c>
    </row>
    <row r="25" spans="1:16" x14ac:dyDescent="0.25">
      <c r="A25" s="130" t="s">
        <v>136</v>
      </c>
      <c r="B25" s="156">
        <v>7</v>
      </c>
      <c r="C25" s="115" t="s">
        <v>29</v>
      </c>
      <c r="D25" s="112" t="s">
        <v>30</v>
      </c>
      <c r="E25" s="113" t="s">
        <v>11</v>
      </c>
      <c r="F25" s="113"/>
      <c r="G25" s="44"/>
      <c r="H25" s="40"/>
      <c r="I25" s="41"/>
      <c r="J25" s="42">
        <v>99.85</v>
      </c>
      <c r="K25" s="47"/>
      <c r="L25" s="39">
        <f t="shared" si="1"/>
        <v>0</v>
      </c>
      <c r="M25" s="39">
        <f t="shared" si="2"/>
        <v>0</v>
      </c>
      <c r="N25" s="39">
        <f t="shared" si="3"/>
        <v>0</v>
      </c>
      <c r="O25" s="39">
        <f t="shared" si="4"/>
        <v>99.85</v>
      </c>
      <c r="P25" s="39">
        <f t="shared" si="5"/>
        <v>0</v>
      </c>
    </row>
    <row r="26" spans="1:16" x14ac:dyDescent="0.25">
      <c r="A26" s="131"/>
      <c r="B26" s="154"/>
      <c r="C26" s="115"/>
      <c r="D26" s="112"/>
      <c r="E26" s="111" t="s">
        <v>16</v>
      </c>
      <c r="F26" s="111"/>
      <c r="G26" s="39">
        <v>99.16</v>
      </c>
      <c r="H26" s="40"/>
      <c r="I26" s="41"/>
      <c r="J26" s="46"/>
      <c r="K26" s="43">
        <v>99.27</v>
      </c>
      <c r="L26" s="39">
        <f t="shared" si="1"/>
        <v>99.16</v>
      </c>
      <c r="M26" s="39">
        <f t="shared" si="2"/>
        <v>0</v>
      </c>
      <c r="N26" s="39">
        <f t="shared" si="3"/>
        <v>0</v>
      </c>
      <c r="O26" s="39">
        <f t="shared" si="4"/>
        <v>0</v>
      </c>
      <c r="P26" s="39">
        <f t="shared" si="5"/>
        <v>99.27</v>
      </c>
    </row>
    <row r="27" spans="1:16" x14ac:dyDescent="0.25">
      <c r="A27" s="131"/>
      <c r="B27" s="154"/>
      <c r="C27" s="115"/>
      <c r="D27" s="112"/>
      <c r="E27" s="114" t="s">
        <v>13</v>
      </c>
      <c r="F27" s="114"/>
      <c r="G27" s="53" t="s">
        <v>45</v>
      </c>
      <c r="H27" s="45">
        <v>100</v>
      </c>
      <c r="I27" s="41"/>
      <c r="J27" s="46"/>
      <c r="K27" s="43">
        <v>95.54</v>
      </c>
      <c r="L27" s="39">
        <f t="shared" si="1"/>
        <v>0</v>
      </c>
      <c r="M27" s="39">
        <f t="shared" si="2"/>
        <v>100</v>
      </c>
      <c r="N27" s="39">
        <f t="shared" si="3"/>
        <v>0</v>
      </c>
      <c r="O27" s="39">
        <f t="shared" si="4"/>
        <v>0</v>
      </c>
      <c r="P27" s="39">
        <f t="shared" si="5"/>
        <v>95.54</v>
      </c>
    </row>
    <row r="28" spans="1:16" x14ac:dyDescent="0.25">
      <c r="A28" s="132"/>
      <c r="B28" s="155"/>
      <c r="C28" s="115"/>
      <c r="D28" s="112"/>
      <c r="E28" s="114" t="s">
        <v>17</v>
      </c>
      <c r="F28" s="114"/>
      <c r="G28" s="39">
        <v>98.59</v>
      </c>
      <c r="H28" s="40"/>
      <c r="I28" s="41"/>
      <c r="J28" s="46"/>
      <c r="K28" s="43">
        <v>99.98</v>
      </c>
      <c r="L28" s="39">
        <f t="shared" si="1"/>
        <v>98.59</v>
      </c>
      <c r="M28" s="39">
        <f t="shared" si="2"/>
        <v>0</v>
      </c>
      <c r="N28" s="39">
        <f t="shared" si="3"/>
        <v>0</v>
      </c>
      <c r="O28" s="39">
        <f t="shared" si="4"/>
        <v>0</v>
      </c>
      <c r="P28" s="39">
        <f t="shared" si="5"/>
        <v>99.98</v>
      </c>
    </row>
    <row r="29" spans="1:16" x14ac:dyDescent="0.25">
      <c r="A29" s="133" t="s">
        <v>136</v>
      </c>
      <c r="B29" s="110">
        <v>8</v>
      </c>
      <c r="C29" s="111" t="s">
        <v>31</v>
      </c>
      <c r="D29" s="112" t="s">
        <v>32</v>
      </c>
      <c r="E29" s="113" t="s">
        <v>11</v>
      </c>
      <c r="F29" s="113"/>
      <c r="G29" s="44"/>
      <c r="H29" s="40"/>
      <c r="I29" s="41"/>
      <c r="J29" s="42">
        <v>0.38</v>
      </c>
      <c r="K29" s="47"/>
      <c r="L29" s="39">
        <f t="shared" si="1"/>
        <v>0</v>
      </c>
      <c r="M29" s="39">
        <f t="shared" si="2"/>
        <v>0</v>
      </c>
      <c r="N29" s="39">
        <f t="shared" si="3"/>
        <v>0</v>
      </c>
      <c r="O29" s="39">
        <f t="shared" si="4"/>
        <v>0.38</v>
      </c>
      <c r="P29" s="39">
        <f t="shared" si="5"/>
        <v>0</v>
      </c>
    </row>
    <row r="30" spans="1:16" x14ac:dyDescent="0.25">
      <c r="A30" s="132"/>
      <c r="B30" s="110"/>
      <c r="C30" s="111"/>
      <c r="D30" s="112"/>
      <c r="E30" s="111" t="s">
        <v>16</v>
      </c>
      <c r="F30" s="111"/>
      <c r="G30" s="39">
        <v>1.59</v>
      </c>
      <c r="H30" s="40"/>
      <c r="I30" s="41"/>
      <c r="J30" s="46"/>
      <c r="K30" s="43">
        <v>4.22</v>
      </c>
      <c r="L30" s="39">
        <f t="shared" si="1"/>
        <v>1.59</v>
      </c>
      <c r="M30" s="39">
        <f t="shared" si="2"/>
        <v>0</v>
      </c>
      <c r="N30" s="39">
        <f t="shared" si="3"/>
        <v>0</v>
      </c>
      <c r="O30" s="39">
        <f t="shared" si="4"/>
        <v>0</v>
      </c>
      <c r="P30" s="39">
        <f t="shared" si="5"/>
        <v>4.22</v>
      </c>
    </row>
  </sheetData>
  <mergeCells count="54">
    <mergeCell ref="D2:D3"/>
    <mergeCell ref="E2:F2"/>
    <mergeCell ref="E3:F3"/>
    <mergeCell ref="B4:B7"/>
    <mergeCell ref="C4:C7"/>
    <mergeCell ref="D4:D7"/>
    <mergeCell ref="E4:F4"/>
    <mergeCell ref="E5:F5"/>
    <mergeCell ref="D25:D28"/>
    <mergeCell ref="E25:F25"/>
    <mergeCell ref="B12:B16"/>
    <mergeCell ref="C12:C16"/>
    <mergeCell ref="D12:D16"/>
    <mergeCell ref="E12:E13"/>
    <mergeCell ref="B17:B20"/>
    <mergeCell ref="C17:C20"/>
    <mergeCell ref="D17:D20"/>
    <mergeCell ref="A17:A20"/>
    <mergeCell ref="E26:F26"/>
    <mergeCell ref="E27:F27"/>
    <mergeCell ref="E28:F28"/>
    <mergeCell ref="B29:B30"/>
    <mergeCell ref="C29:C30"/>
    <mergeCell ref="D29:D30"/>
    <mergeCell ref="E29:F29"/>
    <mergeCell ref="E30:F30"/>
    <mergeCell ref="C21:C24"/>
    <mergeCell ref="D21:D24"/>
    <mergeCell ref="E21:F21"/>
    <mergeCell ref="E22:F22"/>
    <mergeCell ref="E23:F23"/>
    <mergeCell ref="E24:F24"/>
    <mergeCell ref="C25:C28"/>
    <mergeCell ref="E1:F1"/>
    <mergeCell ref="A2:A3"/>
    <mergeCell ref="A4:A7"/>
    <mergeCell ref="A8:A11"/>
    <mergeCell ref="A12:A16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2:B3"/>
    <mergeCell ref="C2:C3"/>
    <mergeCell ref="B21:B24"/>
    <mergeCell ref="B25:B28"/>
    <mergeCell ref="A29:A30"/>
    <mergeCell ref="A25:A28"/>
    <mergeCell ref="A21:A2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workbookViewId="0">
      <selection activeCell="L3" sqref="L3"/>
    </sheetView>
  </sheetViews>
  <sheetFormatPr defaultRowHeight="13.2" x14ac:dyDescent="0.25"/>
  <cols>
    <col min="1" max="1" width="20.88671875" customWidth="1"/>
  </cols>
  <sheetData>
    <row r="1" spans="1:20" ht="40.799999999999997" x14ac:dyDescent="0.25">
      <c r="A1" s="31" t="s">
        <v>115</v>
      </c>
      <c r="B1" s="32" t="s">
        <v>0</v>
      </c>
      <c r="C1" s="66" t="s">
        <v>1</v>
      </c>
      <c r="D1" s="67" t="s">
        <v>2</v>
      </c>
      <c r="E1" s="109" t="s">
        <v>3</v>
      </c>
      <c r="F1" s="109"/>
      <c r="G1" s="34" t="s">
        <v>4</v>
      </c>
      <c r="H1" s="35" t="s">
        <v>5</v>
      </c>
      <c r="I1" s="36" t="s">
        <v>6</v>
      </c>
      <c r="J1" s="37" t="s">
        <v>7</v>
      </c>
      <c r="K1" s="38" t="s">
        <v>8</v>
      </c>
      <c r="L1" s="34" t="s">
        <v>4</v>
      </c>
      <c r="M1" s="35" t="s">
        <v>5</v>
      </c>
      <c r="N1" s="36" t="s">
        <v>6</v>
      </c>
      <c r="O1" s="37" t="s">
        <v>7</v>
      </c>
      <c r="P1" s="38" t="s">
        <v>8</v>
      </c>
    </row>
    <row r="2" spans="1:20" x14ac:dyDescent="0.25">
      <c r="A2" s="119" t="s">
        <v>137</v>
      </c>
      <c r="B2" s="75">
        <v>1</v>
      </c>
      <c r="C2" s="104" t="s">
        <v>9</v>
      </c>
      <c r="D2" s="104" t="s">
        <v>54</v>
      </c>
      <c r="E2" s="84" t="s">
        <v>11</v>
      </c>
      <c r="F2" s="85"/>
      <c r="G2" s="10">
        <v>100</v>
      </c>
      <c r="H2" s="16">
        <v>100</v>
      </c>
      <c r="I2" s="12"/>
      <c r="J2" s="13">
        <v>99.05</v>
      </c>
      <c r="K2" s="14">
        <v>99.78</v>
      </c>
      <c r="L2" s="10">
        <f>IF(OR(G2="NA", G2=0),0,(1*G2))</f>
        <v>100</v>
      </c>
      <c r="M2" s="10">
        <f t="shared" ref="M2:P2" si="0">IF(OR(H2="NA", H2=0),0,(1*H2))</f>
        <v>100</v>
      </c>
      <c r="N2" s="10">
        <f t="shared" si="0"/>
        <v>0</v>
      </c>
      <c r="O2" s="10">
        <f t="shared" si="0"/>
        <v>99.05</v>
      </c>
      <c r="P2" s="10">
        <f t="shared" si="0"/>
        <v>99.78</v>
      </c>
    </row>
    <row r="3" spans="1:20" x14ac:dyDescent="0.25">
      <c r="A3" s="157"/>
      <c r="B3" s="77"/>
      <c r="C3" s="106"/>
      <c r="D3" s="106"/>
      <c r="E3" s="86" t="s">
        <v>16</v>
      </c>
      <c r="F3" s="87"/>
      <c r="G3" s="15"/>
      <c r="H3" s="11"/>
      <c r="I3" s="12"/>
      <c r="J3" s="17"/>
      <c r="K3" s="18"/>
      <c r="L3" s="10">
        <f t="shared" ref="L3:L33" si="1">IF(OR(G3="NA", G3=0),0,(1*G3))</f>
        <v>0</v>
      </c>
      <c r="M3" s="10">
        <f t="shared" ref="M3:M33" si="2">IF(OR(H3="NA", H3=0),0,(1*H3))</f>
        <v>0</v>
      </c>
      <c r="N3" s="10">
        <f t="shared" ref="N3:N33" si="3">IF(OR(I3="NA", I3=0),0,(1*I3))</f>
        <v>0</v>
      </c>
      <c r="O3" s="10">
        <f t="shared" ref="O3:O33" si="4">IF(OR(J3="NA", J3=0),0,(1*J3))</f>
        <v>0</v>
      </c>
      <c r="P3" s="10">
        <f t="shared" ref="P3:P33" si="5">IF(OR(K3="NA", K3=0),0,(1*K3))</f>
        <v>0</v>
      </c>
    </row>
    <row r="4" spans="1:20" x14ac:dyDescent="0.25">
      <c r="A4" s="130" t="s">
        <v>137</v>
      </c>
      <c r="B4" s="125">
        <v>2</v>
      </c>
      <c r="C4" s="93" t="s">
        <v>14</v>
      </c>
      <c r="D4" s="93" t="s">
        <v>15</v>
      </c>
      <c r="E4" s="84" t="s">
        <v>11</v>
      </c>
      <c r="F4" s="85"/>
      <c r="G4" s="15"/>
      <c r="H4" s="11"/>
      <c r="I4" s="12"/>
      <c r="J4" s="13">
        <v>100</v>
      </c>
      <c r="K4" s="18"/>
      <c r="L4" s="10">
        <f t="shared" si="1"/>
        <v>0</v>
      </c>
      <c r="M4" s="10">
        <f t="shared" si="2"/>
        <v>0</v>
      </c>
      <c r="N4" s="10">
        <f t="shared" si="3"/>
        <v>0</v>
      </c>
      <c r="O4" s="10">
        <f t="shared" si="4"/>
        <v>100</v>
      </c>
      <c r="P4" s="10">
        <f t="shared" si="5"/>
        <v>0</v>
      </c>
    </row>
    <row r="5" spans="1:20" x14ac:dyDescent="0.25">
      <c r="A5" s="131"/>
      <c r="B5" s="126"/>
      <c r="C5" s="94"/>
      <c r="D5" s="94"/>
      <c r="E5" s="86" t="s">
        <v>16</v>
      </c>
      <c r="F5" s="87"/>
      <c r="G5" s="10">
        <v>100</v>
      </c>
      <c r="H5" s="16">
        <v>97.25</v>
      </c>
      <c r="I5" s="12"/>
      <c r="J5" s="17"/>
      <c r="K5" s="14">
        <v>100</v>
      </c>
      <c r="L5" s="10">
        <f t="shared" si="1"/>
        <v>100</v>
      </c>
      <c r="M5" s="10">
        <f t="shared" si="2"/>
        <v>97.25</v>
      </c>
      <c r="N5" s="10">
        <f t="shared" si="3"/>
        <v>0</v>
      </c>
      <c r="O5" s="10">
        <f t="shared" si="4"/>
        <v>0</v>
      </c>
      <c r="P5" s="10">
        <f t="shared" si="5"/>
        <v>100</v>
      </c>
    </row>
    <row r="6" spans="1:20" x14ac:dyDescent="0.25">
      <c r="A6" s="131"/>
      <c r="B6" s="126"/>
      <c r="C6" s="94"/>
      <c r="D6" s="94"/>
      <c r="E6" s="88" t="s">
        <v>13</v>
      </c>
      <c r="F6" s="89"/>
      <c r="G6" s="25" t="s">
        <v>45</v>
      </c>
      <c r="H6" s="16">
        <v>98.62</v>
      </c>
      <c r="I6" s="12"/>
      <c r="J6" s="17"/>
      <c r="K6" s="14">
        <v>100</v>
      </c>
      <c r="L6" s="10">
        <f t="shared" si="1"/>
        <v>0</v>
      </c>
      <c r="M6" s="10">
        <f t="shared" si="2"/>
        <v>98.62</v>
      </c>
      <c r="N6" s="10">
        <f t="shared" si="3"/>
        <v>0</v>
      </c>
      <c r="O6" s="10">
        <f t="shared" si="4"/>
        <v>0</v>
      </c>
      <c r="P6" s="10">
        <f t="shared" si="5"/>
        <v>100</v>
      </c>
    </row>
    <row r="7" spans="1:20" x14ac:dyDescent="0.25">
      <c r="A7" s="132"/>
      <c r="B7" s="127"/>
      <c r="C7" s="95"/>
      <c r="D7" s="95"/>
      <c r="E7" s="88" t="s">
        <v>17</v>
      </c>
      <c r="F7" s="89"/>
      <c r="G7" s="10">
        <v>100</v>
      </c>
      <c r="H7" s="16">
        <v>98.47</v>
      </c>
      <c r="I7" s="12"/>
      <c r="J7" s="17"/>
      <c r="K7" s="14">
        <v>100</v>
      </c>
      <c r="L7" s="10">
        <f t="shared" si="1"/>
        <v>100</v>
      </c>
      <c r="M7" s="10">
        <f t="shared" si="2"/>
        <v>98.47</v>
      </c>
      <c r="N7" s="10">
        <f t="shared" si="3"/>
        <v>0</v>
      </c>
      <c r="O7" s="10">
        <f t="shared" si="4"/>
        <v>0</v>
      </c>
      <c r="P7" s="10">
        <f t="shared" si="5"/>
        <v>100</v>
      </c>
    </row>
    <row r="8" spans="1:20" x14ac:dyDescent="0.25">
      <c r="A8" s="130" t="s">
        <v>137</v>
      </c>
      <c r="B8" s="125">
        <v>3</v>
      </c>
      <c r="C8" s="93" t="s">
        <v>18</v>
      </c>
      <c r="D8" s="93" t="s">
        <v>19</v>
      </c>
      <c r="E8" s="84" t="s">
        <v>11</v>
      </c>
      <c r="F8" s="85"/>
      <c r="G8" s="15"/>
      <c r="H8" s="11"/>
      <c r="I8" s="12"/>
      <c r="J8" s="13">
        <v>100</v>
      </c>
      <c r="K8" s="18"/>
      <c r="L8" s="10">
        <f t="shared" si="1"/>
        <v>0</v>
      </c>
      <c r="M8" s="10">
        <f t="shared" si="2"/>
        <v>0</v>
      </c>
      <c r="N8" s="10">
        <f t="shared" si="3"/>
        <v>0</v>
      </c>
      <c r="O8" s="10">
        <f t="shared" si="4"/>
        <v>100</v>
      </c>
      <c r="P8" s="10">
        <f t="shared" si="5"/>
        <v>0</v>
      </c>
    </row>
    <row r="9" spans="1:20" x14ac:dyDescent="0.25">
      <c r="A9" s="131"/>
      <c r="B9" s="126"/>
      <c r="C9" s="94"/>
      <c r="D9" s="94"/>
      <c r="E9" s="86" t="s">
        <v>16</v>
      </c>
      <c r="F9" s="87"/>
      <c r="G9" s="10">
        <v>100</v>
      </c>
      <c r="H9" s="16">
        <v>97.52</v>
      </c>
      <c r="I9" s="12"/>
      <c r="J9" s="17"/>
      <c r="K9" s="14">
        <v>100</v>
      </c>
      <c r="L9" s="10">
        <f t="shared" si="1"/>
        <v>100</v>
      </c>
      <c r="M9" s="10">
        <f t="shared" si="2"/>
        <v>97.52</v>
      </c>
      <c r="N9" s="10">
        <f t="shared" si="3"/>
        <v>0</v>
      </c>
      <c r="O9" s="10">
        <f t="shared" si="4"/>
        <v>0</v>
      </c>
      <c r="P9" s="10">
        <f t="shared" si="5"/>
        <v>100</v>
      </c>
    </row>
    <row r="10" spans="1:20" x14ac:dyDescent="0.25">
      <c r="A10" s="131"/>
      <c r="B10" s="126"/>
      <c r="C10" s="94"/>
      <c r="D10" s="94"/>
      <c r="E10" s="88" t="s">
        <v>13</v>
      </c>
      <c r="F10" s="89"/>
      <c r="G10" s="25" t="s">
        <v>45</v>
      </c>
      <c r="H10" s="16">
        <v>98.23</v>
      </c>
      <c r="I10" s="12"/>
      <c r="J10" s="17"/>
      <c r="K10" s="14">
        <v>100</v>
      </c>
      <c r="L10" s="10">
        <f t="shared" si="1"/>
        <v>0</v>
      </c>
      <c r="M10" s="10">
        <f t="shared" si="2"/>
        <v>98.23</v>
      </c>
      <c r="N10" s="10">
        <f t="shared" si="3"/>
        <v>0</v>
      </c>
      <c r="O10" s="10">
        <f t="shared" si="4"/>
        <v>0</v>
      </c>
      <c r="P10" s="10">
        <f t="shared" si="5"/>
        <v>100</v>
      </c>
    </row>
    <row r="11" spans="1:20" x14ac:dyDescent="0.25">
      <c r="A11" s="132"/>
      <c r="B11" s="127"/>
      <c r="C11" s="95"/>
      <c r="D11" s="95"/>
      <c r="E11" s="88" t="s">
        <v>17</v>
      </c>
      <c r="F11" s="89"/>
      <c r="G11" s="10">
        <v>100</v>
      </c>
      <c r="H11" s="16">
        <v>98.13</v>
      </c>
      <c r="I11" s="12"/>
      <c r="J11" s="17"/>
      <c r="K11" s="14">
        <v>100</v>
      </c>
      <c r="L11" s="10">
        <f t="shared" si="1"/>
        <v>100</v>
      </c>
      <c r="M11" s="10">
        <f t="shared" si="2"/>
        <v>98.13</v>
      </c>
      <c r="N11" s="10">
        <f t="shared" si="3"/>
        <v>0</v>
      </c>
      <c r="O11" s="10">
        <f t="shared" si="4"/>
        <v>0</v>
      </c>
      <c r="P11" s="10">
        <f t="shared" si="5"/>
        <v>100</v>
      </c>
    </row>
    <row r="12" spans="1:20" x14ac:dyDescent="0.25">
      <c r="A12" s="130" t="s">
        <v>137</v>
      </c>
      <c r="B12" s="125">
        <v>4</v>
      </c>
      <c r="C12" s="99" t="s">
        <v>20</v>
      </c>
      <c r="D12" s="99" t="s">
        <v>21</v>
      </c>
      <c r="E12" s="90" t="s">
        <v>22</v>
      </c>
      <c r="F12" s="19" t="s">
        <v>23</v>
      </c>
      <c r="G12" s="15"/>
      <c r="H12" s="11"/>
      <c r="I12" s="12"/>
      <c r="J12" s="17"/>
      <c r="K12" s="18"/>
      <c r="L12" s="10">
        <f t="shared" si="1"/>
        <v>0</v>
      </c>
      <c r="M12" s="10">
        <f t="shared" si="2"/>
        <v>0</v>
      </c>
      <c r="N12" s="10">
        <f t="shared" si="3"/>
        <v>0</v>
      </c>
      <c r="O12" s="10">
        <f t="shared" si="4"/>
        <v>0</v>
      </c>
      <c r="P12" s="10">
        <f t="shared" si="5"/>
        <v>0</v>
      </c>
    </row>
    <row r="13" spans="1:20" x14ac:dyDescent="0.25">
      <c r="A13" s="131"/>
      <c r="B13" s="126"/>
      <c r="C13" s="100"/>
      <c r="D13" s="100"/>
      <c r="E13" s="92"/>
      <c r="F13" s="19" t="s">
        <v>92</v>
      </c>
      <c r="G13" s="15"/>
      <c r="H13" s="11"/>
      <c r="I13" s="12"/>
      <c r="J13" s="17"/>
      <c r="K13" s="18"/>
      <c r="L13" s="10">
        <f t="shared" si="1"/>
        <v>0</v>
      </c>
      <c r="M13" s="10">
        <f t="shared" si="2"/>
        <v>0</v>
      </c>
      <c r="N13" s="10">
        <f t="shared" si="3"/>
        <v>0</v>
      </c>
      <c r="O13" s="10">
        <f t="shared" si="4"/>
        <v>0</v>
      </c>
      <c r="P13" s="10">
        <f t="shared" si="5"/>
        <v>0</v>
      </c>
    </row>
    <row r="14" spans="1:20" x14ac:dyDescent="0.25">
      <c r="A14" s="131"/>
      <c r="B14" s="126"/>
      <c r="C14" s="100"/>
      <c r="D14" s="100"/>
      <c r="E14" s="8" t="s">
        <v>12</v>
      </c>
      <c r="F14" s="19" t="s">
        <v>23</v>
      </c>
      <c r="G14" s="10">
        <v>138.81</v>
      </c>
      <c r="H14" s="16">
        <v>53.42</v>
      </c>
      <c r="I14" s="12"/>
      <c r="J14" s="17"/>
      <c r="K14" s="14">
        <v>101.33</v>
      </c>
      <c r="L14" s="10">
        <f t="shared" si="1"/>
        <v>138.81</v>
      </c>
      <c r="M14" s="10">
        <f t="shared" si="2"/>
        <v>53.42</v>
      </c>
      <c r="N14" s="10">
        <f t="shared" si="3"/>
        <v>0</v>
      </c>
      <c r="O14" s="10">
        <f t="shared" si="4"/>
        <v>0</v>
      </c>
      <c r="P14" s="10">
        <f t="shared" si="5"/>
        <v>101.33</v>
      </c>
    </row>
    <row r="15" spans="1:20" x14ac:dyDescent="0.25">
      <c r="A15" s="131"/>
      <c r="B15" s="126"/>
      <c r="C15" s="100"/>
      <c r="D15" s="100"/>
      <c r="E15" s="8" t="s">
        <v>13</v>
      </c>
      <c r="F15" s="19" t="s">
        <v>23</v>
      </c>
      <c r="G15" s="25" t="s">
        <v>45</v>
      </c>
      <c r="H15" s="16">
        <v>766.44</v>
      </c>
      <c r="I15" s="12"/>
      <c r="J15" s="17"/>
      <c r="K15" s="14">
        <v>3929.43</v>
      </c>
      <c r="L15" s="10">
        <f t="shared" si="1"/>
        <v>0</v>
      </c>
      <c r="M15" s="10">
        <f t="shared" si="2"/>
        <v>766.44</v>
      </c>
      <c r="N15" s="10">
        <f t="shared" si="3"/>
        <v>0</v>
      </c>
      <c r="O15" s="10">
        <f t="shared" si="4"/>
        <v>0</v>
      </c>
      <c r="P15" s="10">
        <f t="shared" si="5"/>
        <v>3929.43</v>
      </c>
    </row>
    <row r="16" spans="1:20" x14ac:dyDescent="0.25">
      <c r="A16" s="132"/>
      <c r="B16" s="127"/>
      <c r="C16" s="101"/>
      <c r="D16" s="101"/>
      <c r="E16" s="8" t="s">
        <v>17</v>
      </c>
      <c r="F16" s="19" t="s">
        <v>24</v>
      </c>
      <c r="G16" s="10">
        <v>9389.9500000000007</v>
      </c>
      <c r="H16" s="16">
        <v>1884.94</v>
      </c>
      <c r="I16" s="12"/>
      <c r="J16" s="13">
        <v>8181.02</v>
      </c>
      <c r="K16" s="14">
        <v>9526.6299999999992</v>
      </c>
      <c r="L16" s="10">
        <f t="shared" si="1"/>
        <v>9389.9500000000007</v>
      </c>
      <c r="M16" s="10">
        <f t="shared" si="2"/>
        <v>1884.94</v>
      </c>
      <c r="N16" s="10">
        <f t="shared" si="3"/>
        <v>0</v>
      </c>
      <c r="O16" s="10">
        <f t="shared" si="4"/>
        <v>8181.02</v>
      </c>
      <c r="P16" s="10">
        <f t="shared" si="5"/>
        <v>9526.6299999999992</v>
      </c>
      <c r="T16" s="158"/>
    </row>
    <row r="17" spans="1:16" x14ac:dyDescent="0.25">
      <c r="A17" s="130" t="s">
        <v>137</v>
      </c>
      <c r="B17" s="125">
        <v>5</v>
      </c>
      <c r="C17" s="99" t="s">
        <v>25</v>
      </c>
      <c r="D17" s="99" t="s">
        <v>26</v>
      </c>
      <c r="E17" s="90" t="s">
        <v>22</v>
      </c>
      <c r="F17" s="19" t="s">
        <v>23</v>
      </c>
      <c r="G17" s="15"/>
      <c r="H17" s="11"/>
      <c r="I17" s="12"/>
      <c r="J17" s="17"/>
      <c r="K17" s="18"/>
      <c r="L17" s="10">
        <f t="shared" si="1"/>
        <v>0</v>
      </c>
      <c r="M17" s="10">
        <f t="shared" si="2"/>
        <v>0</v>
      </c>
      <c r="N17" s="10">
        <f t="shared" si="3"/>
        <v>0</v>
      </c>
      <c r="O17" s="10">
        <f t="shared" si="4"/>
        <v>0</v>
      </c>
      <c r="P17" s="10">
        <f t="shared" si="5"/>
        <v>0</v>
      </c>
    </row>
    <row r="18" spans="1:16" x14ac:dyDescent="0.25">
      <c r="A18" s="131"/>
      <c r="B18" s="126"/>
      <c r="C18" s="100"/>
      <c r="D18" s="100"/>
      <c r="E18" s="92"/>
      <c r="F18" s="19" t="s">
        <v>92</v>
      </c>
      <c r="G18" s="15"/>
      <c r="H18" s="11"/>
      <c r="I18" s="12"/>
      <c r="J18" s="17"/>
      <c r="K18" s="18"/>
      <c r="L18" s="10">
        <f t="shared" si="1"/>
        <v>0</v>
      </c>
      <c r="M18" s="10">
        <f t="shared" si="2"/>
        <v>0</v>
      </c>
      <c r="N18" s="10">
        <f t="shared" si="3"/>
        <v>0</v>
      </c>
      <c r="O18" s="10">
        <f t="shared" si="4"/>
        <v>0</v>
      </c>
      <c r="P18" s="10">
        <f t="shared" si="5"/>
        <v>0</v>
      </c>
    </row>
    <row r="19" spans="1:16" x14ac:dyDescent="0.25">
      <c r="A19" s="131"/>
      <c r="B19" s="126"/>
      <c r="C19" s="100"/>
      <c r="D19" s="100"/>
      <c r="E19" s="8" t="s">
        <v>12</v>
      </c>
      <c r="F19" s="19" t="s">
        <v>23</v>
      </c>
      <c r="G19" s="10">
        <v>198.93</v>
      </c>
      <c r="H19" s="16">
        <v>114.03</v>
      </c>
      <c r="I19" s="12"/>
      <c r="J19" s="17"/>
      <c r="K19" s="14">
        <v>179.13</v>
      </c>
      <c r="L19" s="10">
        <f t="shared" si="1"/>
        <v>198.93</v>
      </c>
      <c r="M19" s="10">
        <f t="shared" si="2"/>
        <v>114.03</v>
      </c>
      <c r="N19" s="10">
        <f t="shared" si="3"/>
        <v>0</v>
      </c>
      <c r="O19" s="10">
        <f t="shared" si="4"/>
        <v>0</v>
      </c>
      <c r="P19" s="10">
        <f t="shared" si="5"/>
        <v>179.13</v>
      </c>
    </row>
    <row r="20" spans="1:16" x14ac:dyDescent="0.25">
      <c r="A20" s="131"/>
      <c r="B20" s="126"/>
      <c r="C20" s="100"/>
      <c r="D20" s="100"/>
      <c r="E20" s="8" t="s">
        <v>13</v>
      </c>
      <c r="F20" s="19" t="s">
        <v>23</v>
      </c>
      <c r="G20" s="25" t="s">
        <v>45</v>
      </c>
      <c r="H20" s="16">
        <v>1686.91</v>
      </c>
      <c r="I20" s="12"/>
      <c r="J20" s="17"/>
      <c r="K20" s="14">
        <v>7826.44</v>
      </c>
      <c r="L20" s="10">
        <f t="shared" si="1"/>
        <v>0</v>
      </c>
      <c r="M20" s="10">
        <f t="shared" si="2"/>
        <v>1686.91</v>
      </c>
      <c r="N20" s="10">
        <f t="shared" si="3"/>
        <v>0</v>
      </c>
      <c r="O20" s="10">
        <f t="shared" si="4"/>
        <v>0</v>
      </c>
      <c r="P20" s="10">
        <f t="shared" si="5"/>
        <v>7826.44</v>
      </c>
    </row>
    <row r="21" spans="1:16" x14ac:dyDescent="0.25">
      <c r="A21" s="132"/>
      <c r="B21" s="127"/>
      <c r="C21" s="101"/>
      <c r="D21" s="101"/>
      <c r="E21" s="8" t="s">
        <v>17</v>
      </c>
      <c r="F21" s="19" t="s">
        <v>24</v>
      </c>
      <c r="G21" s="10">
        <v>14844.39</v>
      </c>
      <c r="H21" s="16">
        <v>4004.53</v>
      </c>
      <c r="I21" s="12"/>
      <c r="J21" s="13">
        <v>20725.23</v>
      </c>
      <c r="K21" s="14">
        <v>20609.68</v>
      </c>
      <c r="L21" s="10">
        <f t="shared" si="1"/>
        <v>14844.39</v>
      </c>
      <c r="M21" s="10">
        <f t="shared" si="2"/>
        <v>4004.53</v>
      </c>
      <c r="N21" s="10">
        <f t="shared" si="3"/>
        <v>0</v>
      </c>
      <c r="O21" s="10">
        <f t="shared" si="4"/>
        <v>20725.23</v>
      </c>
      <c r="P21" s="10">
        <f t="shared" si="5"/>
        <v>20609.68</v>
      </c>
    </row>
    <row r="22" spans="1:16" x14ac:dyDescent="0.25">
      <c r="A22" s="108" t="s">
        <v>137</v>
      </c>
      <c r="B22" s="125">
        <v>6</v>
      </c>
      <c r="C22" s="93" t="s">
        <v>27</v>
      </c>
      <c r="D22" s="96" t="s">
        <v>28</v>
      </c>
      <c r="E22" s="84" t="s">
        <v>11</v>
      </c>
      <c r="F22" s="85"/>
      <c r="G22" s="15"/>
      <c r="H22" s="11"/>
      <c r="I22" s="12"/>
      <c r="J22" s="13">
        <v>56.2</v>
      </c>
      <c r="K22" s="18"/>
      <c r="L22" s="10">
        <f t="shared" si="1"/>
        <v>0</v>
      </c>
      <c r="M22" s="10">
        <f t="shared" si="2"/>
        <v>0</v>
      </c>
      <c r="N22" s="10">
        <f t="shared" si="3"/>
        <v>0</v>
      </c>
      <c r="O22" s="10">
        <f t="shared" si="4"/>
        <v>56.2</v>
      </c>
      <c r="P22" s="10">
        <f t="shared" si="5"/>
        <v>0</v>
      </c>
    </row>
    <row r="23" spans="1:16" x14ac:dyDescent="0.25">
      <c r="A23" s="108"/>
      <c r="B23" s="126"/>
      <c r="C23" s="94"/>
      <c r="D23" s="97"/>
      <c r="E23" s="86" t="s">
        <v>16</v>
      </c>
      <c r="F23" s="87"/>
      <c r="G23" s="10">
        <v>213.72</v>
      </c>
      <c r="H23" s="16">
        <v>245.96</v>
      </c>
      <c r="I23" s="12"/>
      <c r="J23" s="17"/>
      <c r="K23" s="14">
        <v>99.5</v>
      </c>
      <c r="L23" s="10">
        <f t="shared" si="1"/>
        <v>213.72</v>
      </c>
      <c r="M23" s="10">
        <f t="shared" si="2"/>
        <v>245.96</v>
      </c>
      <c r="N23" s="10">
        <f t="shared" si="3"/>
        <v>0</v>
      </c>
      <c r="O23" s="10">
        <f t="shared" si="4"/>
        <v>0</v>
      </c>
      <c r="P23" s="10">
        <f t="shared" si="5"/>
        <v>99.5</v>
      </c>
    </row>
    <row r="24" spans="1:16" x14ac:dyDescent="0.25">
      <c r="A24" s="108"/>
      <c r="B24" s="126"/>
      <c r="C24" s="94"/>
      <c r="D24" s="97"/>
      <c r="E24" s="88" t="s">
        <v>13</v>
      </c>
      <c r="F24" s="89"/>
      <c r="G24" s="25" t="s">
        <v>45</v>
      </c>
      <c r="H24" s="16">
        <v>141.75</v>
      </c>
      <c r="I24" s="12"/>
      <c r="J24" s="17"/>
      <c r="K24" s="14">
        <v>24.17</v>
      </c>
      <c r="L24" s="10">
        <f t="shared" si="1"/>
        <v>0</v>
      </c>
      <c r="M24" s="10">
        <f t="shared" si="2"/>
        <v>141.75</v>
      </c>
      <c r="N24" s="10">
        <f t="shared" si="3"/>
        <v>0</v>
      </c>
      <c r="O24" s="10">
        <f t="shared" si="4"/>
        <v>0</v>
      </c>
      <c r="P24" s="10">
        <f t="shared" si="5"/>
        <v>24.17</v>
      </c>
    </row>
    <row r="25" spans="1:16" x14ac:dyDescent="0.25">
      <c r="A25" s="108"/>
      <c r="B25" s="127"/>
      <c r="C25" s="95"/>
      <c r="D25" s="98"/>
      <c r="E25" s="88" t="s">
        <v>17</v>
      </c>
      <c r="F25" s="89"/>
      <c r="G25" s="10">
        <v>51.7</v>
      </c>
      <c r="H25" s="16">
        <v>121.69</v>
      </c>
      <c r="I25" s="12"/>
      <c r="J25" s="17"/>
      <c r="K25" s="14">
        <v>24</v>
      </c>
      <c r="L25" s="10">
        <f t="shared" si="1"/>
        <v>51.7</v>
      </c>
      <c r="M25" s="10">
        <f t="shared" si="2"/>
        <v>121.69</v>
      </c>
      <c r="N25" s="10">
        <f t="shared" si="3"/>
        <v>0</v>
      </c>
      <c r="O25" s="10">
        <f t="shared" si="4"/>
        <v>0</v>
      </c>
      <c r="P25" s="10">
        <f t="shared" si="5"/>
        <v>24</v>
      </c>
    </row>
    <row r="26" spans="1:16" x14ac:dyDescent="0.25">
      <c r="A26" s="108" t="s">
        <v>137</v>
      </c>
      <c r="B26" s="125">
        <v>7</v>
      </c>
      <c r="C26" s="90" t="s">
        <v>29</v>
      </c>
      <c r="D26" s="81" t="s">
        <v>30</v>
      </c>
      <c r="E26" s="84" t="s">
        <v>11</v>
      </c>
      <c r="F26" s="85"/>
      <c r="G26" s="15"/>
      <c r="H26" s="11"/>
      <c r="I26" s="12"/>
      <c r="J26" s="13">
        <v>99.82</v>
      </c>
      <c r="K26" s="18"/>
      <c r="L26" s="10">
        <f t="shared" si="1"/>
        <v>0</v>
      </c>
      <c r="M26" s="10">
        <f t="shared" si="2"/>
        <v>0</v>
      </c>
      <c r="N26" s="10">
        <f t="shared" si="3"/>
        <v>0</v>
      </c>
      <c r="O26" s="10">
        <f t="shared" si="4"/>
        <v>99.82</v>
      </c>
      <c r="P26" s="10">
        <f t="shared" si="5"/>
        <v>0</v>
      </c>
    </row>
    <row r="27" spans="1:16" x14ac:dyDescent="0.25">
      <c r="A27" s="108"/>
      <c r="B27" s="126"/>
      <c r="C27" s="91"/>
      <c r="D27" s="82"/>
      <c r="E27" s="86" t="s">
        <v>16</v>
      </c>
      <c r="F27" s="87"/>
      <c r="G27" s="10">
        <v>99.97</v>
      </c>
      <c r="H27" s="16">
        <v>99.59</v>
      </c>
      <c r="I27" s="12"/>
      <c r="J27" s="17"/>
      <c r="K27" s="14">
        <v>99.6</v>
      </c>
      <c r="L27" s="10">
        <f t="shared" si="1"/>
        <v>99.97</v>
      </c>
      <c r="M27" s="10">
        <f t="shared" si="2"/>
        <v>99.59</v>
      </c>
      <c r="N27" s="10">
        <f t="shared" si="3"/>
        <v>0</v>
      </c>
      <c r="O27" s="10">
        <f t="shared" si="4"/>
        <v>0</v>
      </c>
      <c r="P27" s="10">
        <f t="shared" si="5"/>
        <v>99.6</v>
      </c>
    </row>
    <row r="28" spans="1:16" x14ac:dyDescent="0.25">
      <c r="A28" s="108"/>
      <c r="B28" s="126"/>
      <c r="C28" s="91"/>
      <c r="D28" s="82"/>
      <c r="E28" s="88" t="s">
        <v>13</v>
      </c>
      <c r="F28" s="89"/>
      <c r="G28" s="25" t="s">
        <v>45</v>
      </c>
      <c r="H28" s="16">
        <v>99.67</v>
      </c>
      <c r="I28" s="12"/>
      <c r="J28" s="17"/>
      <c r="K28" s="14">
        <v>97.46</v>
      </c>
      <c r="L28" s="10">
        <f t="shared" si="1"/>
        <v>0</v>
      </c>
      <c r="M28" s="10">
        <f t="shared" si="2"/>
        <v>99.67</v>
      </c>
      <c r="N28" s="10">
        <f t="shared" si="3"/>
        <v>0</v>
      </c>
      <c r="O28" s="10">
        <f t="shared" si="4"/>
        <v>0</v>
      </c>
      <c r="P28" s="10">
        <f t="shared" si="5"/>
        <v>97.46</v>
      </c>
    </row>
    <row r="29" spans="1:16" x14ac:dyDescent="0.25">
      <c r="A29" s="108"/>
      <c r="B29" s="127"/>
      <c r="C29" s="92"/>
      <c r="D29" s="83"/>
      <c r="E29" s="88" t="s">
        <v>17</v>
      </c>
      <c r="F29" s="89"/>
      <c r="G29" s="10">
        <v>99.68</v>
      </c>
      <c r="H29" s="16">
        <v>100</v>
      </c>
      <c r="I29" s="12"/>
      <c r="J29" s="17"/>
      <c r="K29" s="14">
        <v>99.06</v>
      </c>
      <c r="L29" s="10">
        <f t="shared" si="1"/>
        <v>99.68</v>
      </c>
      <c r="M29" s="10">
        <f t="shared" si="2"/>
        <v>100</v>
      </c>
      <c r="N29" s="10">
        <f t="shared" si="3"/>
        <v>0</v>
      </c>
      <c r="O29" s="10">
        <f t="shared" si="4"/>
        <v>0</v>
      </c>
      <c r="P29" s="10">
        <f t="shared" si="5"/>
        <v>99.06</v>
      </c>
    </row>
    <row r="30" spans="1:16" x14ac:dyDescent="0.25">
      <c r="A30" s="108" t="s">
        <v>137</v>
      </c>
      <c r="B30" s="125">
        <v>8</v>
      </c>
      <c r="C30" s="78" t="s">
        <v>31</v>
      </c>
      <c r="D30" s="81" t="s">
        <v>32</v>
      </c>
      <c r="E30" s="84" t="s">
        <v>11</v>
      </c>
      <c r="F30" s="85"/>
      <c r="G30" s="15"/>
      <c r="H30" s="11"/>
      <c r="I30" s="12"/>
      <c r="J30" s="13">
        <v>0.47</v>
      </c>
      <c r="K30" s="18"/>
      <c r="L30" s="10">
        <f t="shared" si="1"/>
        <v>0</v>
      </c>
      <c r="M30" s="10">
        <f t="shared" si="2"/>
        <v>0</v>
      </c>
      <c r="N30" s="10">
        <f t="shared" si="3"/>
        <v>0</v>
      </c>
      <c r="O30" s="10">
        <f t="shared" si="4"/>
        <v>0.47</v>
      </c>
      <c r="P30" s="10">
        <f t="shared" si="5"/>
        <v>0</v>
      </c>
    </row>
    <row r="31" spans="1:16" x14ac:dyDescent="0.25">
      <c r="A31" s="108"/>
      <c r="B31" s="126"/>
      <c r="C31" s="79"/>
      <c r="D31" s="82"/>
      <c r="E31" s="86" t="s">
        <v>16</v>
      </c>
      <c r="F31" s="87"/>
      <c r="G31" s="10">
        <v>1.37</v>
      </c>
      <c r="H31" s="16">
        <v>0</v>
      </c>
      <c r="I31" s="12"/>
      <c r="J31" s="17"/>
      <c r="K31" s="14">
        <v>3.77</v>
      </c>
      <c r="L31" s="10">
        <f t="shared" si="1"/>
        <v>1.37</v>
      </c>
      <c r="M31" s="10">
        <f t="shared" si="2"/>
        <v>0</v>
      </c>
      <c r="N31" s="10">
        <f t="shared" si="3"/>
        <v>0</v>
      </c>
      <c r="O31" s="10">
        <f t="shared" si="4"/>
        <v>0</v>
      </c>
      <c r="P31" s="10">
        <f t="shared" si="5"/>
        <v>3.77</v>
      </c>
    </row>
    <row r="32" spans="1:16" x14ac:dyDescent="0.25">
      <c r="A32" s="108"/>
      <c r="B32" s="126"/>
      <c r="C32" s="79"/>
      <c r="D32" s="82"/>
      <c r="E32" s="88" t="s">
        <v>13</v>
      </c>
      <c r="F32" s="89"/>
      <c r="G32" s="25" t="s">
        <v>45</v>
      </c>
      <c r="H32" s="16">
        <v>0</v>
      </c>
      <c r="I32" s="12"/>
      <c r="J32" s="17"/>
      <c r="K32" s="14">
        <v>1.32</v>
      </c>
      <c r="L32" s="10">
        <f t="shared" si="1"/>
        <v>0</v>
      </c>
      <c r="M32" s="10">
        <f t="shared" si="2"/>
        <v>0</v>
      </c>
      <c r="N32" s="10">
        <f t="shared" si="3"/>
        <v>0</v>
      </c>
      <c r="O32" s="10">
        <f t="shared" si="4"/>
        <v>0</v>
      </c>
      <c r="P32" s="10">
        <f t="shared" si="5"/>
        <v>1.32</v>
      </c>
    </row>
    <row r="33" spans="1:16" x14ac:dyDescent="0.25">
      <c r="A33" s="108"/>
      <c r="B33" s="127"/>
      <c r="C33" s="80"/>
      <c r="D33" s="83"/>
      <c r="E33" s="88" t="s">
        <v>17</v>
      </c>
      <c r="F33" s="89"/>
      <c r="G33" s="10">
        <v>0.15</v>
      </c>
      <c r="H33" s="16">
        <v>0</v>
      </c>
      <c r="I33" s="12"/>
      <c r="J33" s="17"/>
      <c r="K33" s="14">
        <v>0.15</v>
      </c>
      <c r="L33" s="10">
        <f t="shared" si="1"/>
        <v>0.15</v>
      </c>
      <c r="M33" s="10">
        <f t="shared" si="2"/>
        <v>0</v>
      </c>
      <c r="N33" s="10">
        <f t="shared" si="3"/>
        <v>0</v>
      </c>
      <c r="O33" s="10">
        <f t="shared" si="4"/>
        <v>0</v>
      </c>
      <c r="P33" s="10">
        <f t="shared" si="5"/>
        <v>0.15</v>
      </c>
    </row>
  </sheetData>
  <mergeCells count="57">
    <mergeCell ref="B2:B3"/>
    <mergeCell ref="C2:C3"/>
    <mergeCell ref="D2:D3"/>
    <mergeCell ref="E2:F2"/>
    <mergeCell ref="E3:F3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E4:F4"/>
    <mergeCell ref="E5:F5"/>
    <mergeCell ref="B12:B16"/>
    <mergeCell ref="C12:C16"/>
    <mergeCell ref="D12:D16"/>
    <mergeCell ref="E12:E13"/>
    <mergeCell ref="B17:B21"/>
    <mergeCell ref="C17:C21"/>
    <mergeCell ref="D17:D21"/>
    <mergeCell ref="E17:E18"/>
    <mergeCell ref="B22:B25"/>
    <mergeCell ref="C22:C25"/>
    <mergeCell ref="D22:D25"/>
    <mergeCell ref="E22:F22"/>
    <mergeCell ref="E23:F23"/>
    <mergeCell ref="E24:F24"/>
    <mergeCell ref="E25:F25"/>
    <mergeCell ref="B26:B29"/>
    <mergeCell ref="C26:C29"/>
    <mergeCell ref="D26:D29"/>
    <mergeCell ref="E26:F26"/>
    <mergeCell ref="E27:F27"/>
    <mergeCell ref="E28:F28"/>
    <mergeCell ref="E29:F29"/>
    <mergeCell ref="A22:A25"/>
    <mergeCell ref="A26:A29"/>
    <mergeCell ref="A30:A33"/>
    <mergeCell ref="E1:F1"/>
    <mergeCell ref="A2:A3"/>
    <mergeCell ref="A4:A7"/>
    <mergeCell ref="A8:A11"/>
    <mergeCell ref="A12:A16"/>
    <mergeCell ref="A17:A21"/>
    <mergeCell ref="B30:B33"/>
    <mergeCell ref="C30:C33"/>
    <mergeCell ref="D30:D33"/>
    <mergeCell ref="E30:F30"/>
    <mergeCell ref="E31:F31"/>
    <mergeCell ref="E32:F32"/>
    <mergeCell ref="E33:F3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L2" sqref="L2:P31"/>
    </sheetView>
  </sheetViews>
  <sheetFormatPr defaultRowHeight="13.2" x14ac:dyDescent="0.25"/>
  <cols>
    <col min="1" max="1" width="16.88671875" customWidth="1"/>
  </cols>
  <sheetData>
    <row r="1" spans="1:16" ht="40.799999999999997" x14ac:dyDescent="0.25">
      <c r="A1" s="31" t="s">
        <v>115</v>
      </c>
      <c r="B1" s="32" t="s">
        <v>0</v>
      </c>
      <c r="C1" s="66" t="s">
        <v>1</v>
      </c>
      <c r="D1" s="67" t="s">
        <v>2</v>
      </c>
      <c r="E1" s="109" t="s">
        <v>3</v>
      </c>
      <c r="F1" s="109"/>
      <c r="G1" s="34" t="s">
        <v>4</v>
      </c>
      <c r="H1" s="35" t="s">
        <v>5</v>
      </c>
      <c r="I1" s="36" t="s">
        <v>6</v>
      </c>
      <c r="J1" s="37" t="s">
        <v>7</v>
      </c>
      <c r="K1" s="38" t="s">
        <v>8</v>
      </c>
      <c r="L1" s="34" t="s">
        <v>4</v>
      </c>
      <c r="M1" s="35" t="s">
        <v>5</v>
      </c>
      <c r="N1" s="36" t="s">
        <v>6</v>
      </c>
      <c r="O1" s="37" t="s">
        <v>7</v>
      </c>
      <c r="P1" s="38" t="s">
        <v>8</v>
      </c>
    </row>
    <row r="2" spans="1:16" x14ac:dyDescent="0.25">
      <c r="A2" s="107" t="s">
        <v>138</v>
      </c>
      <c r="B2" s="125">
        <v>1</v>
      </c>
      <c r="C2" s="104" t="s">
        <v>9</v>
      </c>
      <c r="D2" s="104" t="s">
        <v>54</v>
      </c>
      <c r="E2" s="84" t="s">
        <v>11</v>
      </c>
      <c r="F2" s="85"/>
      <c r="G2" s="10">
        <v>100</v>
      </c>
      <c r="H2" s="16">
        <v>97.85</v>
      </c>
      <c r="I2" s="12"/>
      <c r="J2" s="13">
        <v>98.11</v>
      </c>
      <c r="K2" s="14">
        <v>99.94</v>
      </c>
      <c r="L2" s="10">
        <f>IF(OR(G2="NA", G2=0),0,(1*G2))</f>
        <v>100</v>
      </c>
      <c r="M2" s="10">
        <f t="shared" ref="M2:P2" si="0">IF(OR(H2="NA", H2=0),0,(1*H2))</f>
        <v>97.85</v>
      </c>
      <c r="N2" s="10">
        <f t="shared" si="0"/>
        <v>0</v>
      </c>
      <c r="O2" s="10">
        <f t="shared" si="0"/>
        <v>98.11</v>
      </c>
      <c r="P2" s="10">
        <f t="shared" si="0"/>
        <v>99.94</v>
      </c>
    </row>
    <row r="3" spans="1:16" x14ac:dyDescent="0.25">
      <c r="A3" s="108"/>
      <c r="B3" s="127"/>
      <c r="C3" s="106"/>
      <c r="D3" s="106"/>
      <c r="E3" s="86" t="s">
        <v>16</v>
      </c>
      <c r="F3" s="87"/>
      <c r="G3" s="15"/>
      <c r="H3" s="11"/>
      <c r="I3" s="12"/>
      <c r="J3" s="17"/>
      <c r="K3" s="18"/>
      <c r="L3" s="10">
        <f t="shared" ref="L3:L31" si="1">IF(OR(G3="NA", G3=0),0,(1*G3))</f>
        <v>0</v>
      </c>
      <c r="M3" s="10">
        <f t="shared" ref="M3:M31" si="2">IF(OR(H3="NA", H3=0),0,(1*H3))</f>
        <v>0</v>
      </c>
      <c r="N3" s="10">
        <f t="shared" ref="N3:N31" si="3">IF(OR(I3="NA", I3=0),0,(1*I3))</f>
        <v>0</v>
      </c>
      <c r="O3" s="10">
        <f t="shared" ref="O3:O31" si="4">IF(OR(J3="NA", J3=0),0,(1*J3))</f>
        <v>0</v>
      </c>
      <c r="P3" s="10">
        <f t="shared" ref="P3:P31" si="5">IF(OR(K3="NA", K3=0),0,(1*K3))</f>
        <v>0</v>
      </c>
    </row>
    <row r="4" spans="1:16" x14ac:dyDescent="0.25">
      <c r="A4" s="108" t="s">
        <v>138</v>
      </c>
      <c r="B4" s="125">
        <v>2</v>
      </c>
      <c r="C4" s="93" t="s">
        <v>14</v>
      </c>
      <c r="D4" s="93" t="s">
        <v>15</v>
      </c>
      <c r="E4" s="84" t="s">
        <v>11</v>
      </c>
      <c r="F4" s="85"/>
      <c r="G4" s="15"/>
      <c r="H4" s="16">
        <v>86.06</v>
      </c>
      <c r="I4" s="12"/>
      <c r="J4" s="13">
        <v>100</v>
      </c>
      <c r="K4" s="18"/>
      <c r="L4" s="10">
        <f t="shared" si="1"/>
        <v>0</v>
      </c>
      <c r="M4" s="10">
        <f t="shared" si="2"/>
        <v>86.06</v>
      </c>
      <c r="N4" s="10">
        <f t="shared" si="3"/>
        <v>0</v>
      </c>
      <c r="O4" s="10">
        <f t="shared" si="4"/>
        <v>100</v>
      </c>
      <c r="P4" s="10">
        <f t="shared" si="5"/>
        <v>0</v>
      </c>
    </row>
    <row r="5" spans="1:16" x14ac:dyDescent="0.25">
      <c r="A5" s="108"/>
      <c r="B5" s="126"/>
      <c r="C5" s="94"/>
      <c r="D5" s="94"/>
      <c r="E5" s="86" t="s">
        <v>16</v>
      </c>
      <c r="F5" s="87"/>
      <c r="G5" s="10">
        <v>100</v>
      </c>
      <c r="H5" s="11"/>
      <c r="I5" s="12"/>
      <c r="J5" s="17"/>
      <c r="K5" s="14">
        <v>100</v>
      </c>
      <c r="L5" s="10">
        <f t="shared" si="1"/>
        <v>100</v>
      </c>
      <c r="M5" s="10">
        <f t="shared" si="2"/>
        <v>0</v>
      </c>
      <c r="N5" s="10">
        <f t="shared" si="3"/>
        <v>0</v>
      </c>
      <c r="O5" s="10">
        <f t="shared" si="4"/>
        <v>0</v>
      </c>
      <c r="P5" s="10">
        <f t="shared" si="5"/>
        <v>100</v>
      </c>
    </row>
    <row r="6" spans="1:16" x14ac:dyDescent="0.25">
      <c r="A6" s="108"/>
      <c r="B6" s="126"/>
      <c r="C6" s="94"/>
      <c r="D6" s="94"/>
      <c r="E6" s="88" t="s">
        <v>13</v>
      </c>
      <c r="F6" s="89"/>
      <c r="G6" s="25" t="s">
        <v>45</v>
      </c>
      <c r="H6" s="11"/>
      <c r="I6" s="12"/>
      <c r="J6" s="17"/>
      <c r="K6" s="14">
        <v>100</v>
      </c>
      <c r="L6" s="10">
        <f t="shared" si="1"/>
        <v>0</v>
      </c>
      <c r="M6" s="10">
        <f t="shared" si="2"/>
        <v>0</v>
      </c>
      <c r="N6" s="10">
        <f t="shared" si="3"/>
        <v>0</v>
      </c>
      <c r="O6" s="10">
        <f t="shared" si="4"/>
        <v>0</v>
      </c>
      <c r="P6" s="10">
        <f t="shared" si="5"/>
        <v>100</v>
      </c>
    </row>
    <row r="7" spans="1:16" x14ac:dyDescent="0.25">
      <c r="A7" s="108"/>
      <c r="B7" s="127"/>
      <c r="C7" s="95"/>
      <c r="D7" s="95"/>
      <c r="E7" s="88" t="s">
        <v>17</v>
      </c>
      <c r="F7" s="89"/>
      <c r="G7" s="10">
        <v>100</v>
      </c>
      <c r="H7" s="11"/>
      <c r="I7" s="12"/>
      <c r="J7" s="17"/>
      <c r="K7" s="14">
        <v>100</v>
      </c>
      <c r="L7" s="10">
        <f t="shared" si="1"/>
        <v>100</v>
      </c>
      <c r="M7" s="10">
        <f t="shared" si="2"/>
        <v>0</v>
      </c>
      <c r="N7" s="10">
        <f t="shared" si="3"/>
        <v>0</v>
      </c>
      <c r="O7" s="10">
        <f t="shared" si="4"/>
        <v>0</v>
      </c>
      <c r="P7" s="10">
        <f t="shared" si="5"/>
        <v>100</v>
      </c>
    </row>
    <row r="8" spans="1:16" ht="13.2" customHeight="1" x14ac:dyDescent="0.25">
      <c r="A8" s="108" t="s">
        <v>138</v>
      </c>
      <c r="B8" s="134">
        <v>3</v>
      </c>
      <c r="C8" s="93" t="s">
        <v>18</v>
      </c>
      <c r="D8" s="93" t="s">
        <v>19</v>
      </c>
      <c r="E8" s="84" t="s">
        <v>11</v>
      </c>
      <c r="F8" s="85"/>
      <c r="G8" s="15"/>
      <c r="H8" s="16">
        <v>83.61</v>
      </c>
      <c r="I8" s="12"/>
      <c r="J8" s="13">
        <v>100</v>
      </c>
      <c r="K8" s="18"/>
      <c r="L8" s="10">
        <f t="shared" si="1"/>
        <v>0</v>
      </c>
      <c r="M8" s="10">
        <f t="shared" si="2"/>
        <v>83.61</v>
      </c>
      <c r="N8" s="10">
        <f t="shared" si="3"/>
        <v>0</v>
      </c>
      <c r="O8" s="10">
        <f t="shared" si="4"/>
        <v>100</v>
      </c>
      <c r="P8" s="10">
        <f t="shared" si="5"/>
        <v>0</v>
      </c>
    </row>
    <row r="9" spans="1:16" x14ac:dyDescent="0.25">
      <c r="A9" s="108"/>
      <c r="B9" s="135"/>
      <c r="C9" s="94"/>
      <c r="D9" s="94"/>
      <c r="E9" s="86" t="s">
        <v>16</v>
      </c>
      <c r="F9" s="87"/>
      <c r="G9" s="10">
        <v>100</v>
      </c>
      <c r="H9" s="11"/>
      <c r="I9" s="12"/>
      <c r="J9" s="17"/>
      <c r="K9" s="14">
        <v>100</v>
      </c>
      <c r="L9" s="10">
        <f t="shared" si="1"/>
        <v>100</v>
      </c>
      <c r="M9" s="10">
        <f t="shared" si="2"/>
        <v>0</v>
      </c>
      <c r="N9" s="10">
        <f t="shared" si="3"/>
        <v>0</v>
      </c>
      <c r="O9" s="10">
        <f t="shared" si="4"/>
        <v>0</v>
      </c>
      <c r="P9" s="10">
        <f t="shared" si="5"/>
        <v>100</v>
      </c>
    </row>
    <row r="10" spans="1:16" x14ac:dyDescent="0.25">
      <c r="A10" s="108"/>
      <c r="B10" s="135"/>
      <c r="C10" s="94"/>
      <c r="D10" s="94"/>
      <c r="E10" s="88" t="s">
        <v>13</v>
      </c>
      <c r="F10" s="89"/>
      <c r="G10" s="25" t="s">
        <v>45</v>
      </c>
      <c r="H10" s="11"/>
      <c r="I10" s="12"/>
      <c r="J10" s="17"/>
      <c r="K10" s="14">
        <v>100</v>
      </c>
      <c r="L10" s="10">
        <f t="shared" si="1"/>
        <v>0</v>
      </c>
      <c r="M10" s="10">
        <f t="shared" si="2"/>
        <v>0</v>
      </c>
      <c r="N10" s="10">
        <f t="shared" si="3"/>
        <v>0</v>
      </c>
      <c r="O10" s="10">
        <f t="shared" si="4"/>
        <v>0</v>
      </c>
      <c r="P10" s="10">
        <f t="shared" si="5"/>
        <v>100</v>
      </c>
    </row>
    <row r="11" spans="1:16" x14ac:dyDescent="0.25">
      <c r="A11" s="108"/>
      <c r="B11" s="136"/>
      <c r="C11" s="95"/>
      <c r="D11" s="95"/>
      <c r="E11" s="88" t="s">
        <v>17</v>
      </c>
      <c r="F11" s="89"/>
      <c r="G11" s="10">
        <v>100</v>
      </c>
      <c r="H11" s="11"/>
      <c r="I11" s="12"/>
      <c r="J11" s="17"/>
      <c r="K11" s="14">
        <v>100</v>
      </c>
      <c r="L11" s="10">
        <f t="shared" si="1"/>
        <v>100</v>
      </c>
      <c r="M11" s="10">
        <f t="shared" si="2"/>
        <v>0</v>
      </c>
      <c r="N11" s="10">
        <f t="shared" si="3"/>
        <v>0</v>
      </c>
      <c r="O11" s="10">
        <f t="shared" si="4"/>
        <v>0</v>
      </c>
      <c r="P11" s="10">
        <f t="shared" si="5"/>
        <v>100</v>
      </c>
    </row>
    <row r="12" spans="1:16" x14ac:dyDescent="0.25">
      <c r="A12" s="108" t="s">
        <v>138</v>
      </c>
      <c r="B12" s="125">
        <v>4</v>
      </c>
      <c r="C12" s="99" t="s">
        <v>20</v>
      </c>
      <c r="D12" s="99" t="s">
        <v>21</v>
      </c>
      <c r="E12" s="8" t="s">
        <v>22</v>
      </c>
      <c r="F12" s="19" t="s">
        <v>23</v>
      </c>
      <c r="G12" s="15"/>
      <c r="H12" s="11"/>
      <c r="I12" s="12"/>
      <c r="J12" s="17"/>
      <c r="K12" s="18"/>
      <c r="L12" s="10">
        <f t="shared" si="1"/>
        <v>0</v>
      </c>
      <c r="M12" s="10">
        <f t="shared" si="2"/>
        <v>0</v>
      </c>
      <c r="N12" s="10">
        <f t="shared" si="3"/>
        <v>0</v>
      </c>
      <c r="O12" s="10">
        <f t="shared" si="4"/>
        <v>0</v>
      </c>
      <c r="P12" s="10">
        <f t="shared" si="5"/>
        <v>0</v>
      </c>
    </row>
    <row r="13" spans="1:16" x14ac:dyDescent="0.25">
      <c r="A13" s="108"/>
      <c r="B13" s="126"/>
      <c r="C13" s="100"/>
      <c r="D13" s="100"/>
      <c r="E13" s="8" t="s">
        <v>12</v>
      </c>
      <c r="F13" s="19" t="s">
        <v>23</v>
      </c>
      <c r="G13" s="10">
        <v>96.62</v>
      </c>
      <c r="H13" s="16">
        <v>108.86</v>
      </c>
      <c r="I13" s="12"/>
      <c r="J13" s="17"/>
      <c r="K13" s="14">
        <v>89.34</v>
      </c>
      <c r="L13" s="10">
        <f t="shared" si="1"/>
        <v>96.62</v>
      </c>
      <c r="M13" s="10">
        <f t="shared" si="2"/>
        <v>108.86</v>
      </c>
      <c r="N13" s="10">
        <f t="shared" si="3"/>
        <v>0</v>
      </c>
      <c r="O13" s="10">
        <f t="shared" si="4"/>
        <v>0</v>
      </c>
      <c r="P13" s="10">
        <f t="shared" si="5"/>
        <v>89.34</v>
      </c>
    </row>
    <row r="14" spans="1:16" x14ac:dyDescent="0.25">
      <c r="A14" s="108"/>
      <c r="B14" s="126"/>
      <c r="C14" s="100"/>
      <c r="D14" s="100"/>
      <c r="E14" s="8" t="s">
        <v>13</v>
      </c>
      <c r="F14" s="19" t="s">
        <v>23</v>
      </c>
      <c r="G14" s="25" t="s">
        <v>45</v>
      </c>
      <c r="H14" s="16">
        <v>2801.33</v>
      </c>
      <c r="I14" s="12"/>
      <c r="J14" s="17"/>
      <c r="K14" s="14">
        <v>2872.85</v>
      </c>
      <c r="L14" s="10">
        <f t="shared" si="1"/>
        <v>0</v>
      </c>
      <c r="M14" s="10">
        <f t="shared" si="2"/>
        <v>2801.33</v>
      </c>
      <c r="N14" s="10">
        <f t="shared" si="3"/>
        <v>0</v>
      </c>
      <c r="O14" s="10">
        <f t="shared" si="4"/>
        <v>0</v>
      </c>
      <c r="P14" s="10">
        <f t="shared" si="5"/>
        <v>2872.85</v>
      </c>
    </row>
    <row r="15" spans="1:16" x14ac:dyDescent="0.25">
      <c r="A15" s="108"/>
      <c r="B15" s="127"/>
      <c r="C15" s="101"/>
      <c r="D15" s="101"/>
      <c r="E15" s="8" t="s">
        <v>17</v>
      </c>
      <c r="F15" s="19" t="s">
        <v>24</v>
      </c>
      <c r="G15" s="10">
        <v>3468.14</v>
      </c>
      <c r="H15" s="11"/>
      <c r="I15" s="12"/>
      <c r="J15" s="13">
        <v>7671</v>
      </c>
      <c r="K15" s="14">
        <v>7900.2</v>
      </c>
      <c r="L15" s="10">
        <f t="shared" si="1"/>
        <v>3468.14</v>
      </c>
      <c r="M15" s="10">
        <f t="shared" si="2"/>
        <v>0</v>
      </c>
      <c r="N15" s="10">
        <f t="shared" si="3"/>
        <v>0</v>
      </c>
      <c r="O15" s="10">
        <f t="shared" si="4"/>
        <v>7671</v>
      </c>
      <c r="P15" s="10">
        <f t="shared" si="5"/>
        <v>7900.2</v>
      </c>
    </row>
    <row r="16" spans="1:16" x14ac:dyDescent="0.25">
      <c r="A16" s="108" t="s">
        <v>138</v>
      </c>
      <c r="B16" s="125">
        <v>5</v>
      </c>
      <c r="C16" s="99" t="s">
        <v>25</v>
      </c>
      <c r="D16" s="99" t="s">
        <v>26</v>
      </c>
      <c r="E16" s="8" t="s">
        <v>22</v>
      </c>
      <c r="F16" s="19" t="s">
        <v>23</v>
      </c>
      <c r="G16" s="15"/>
      <c r="H16" s="11"/>
      <c r="I16" s="12"/>
      <c r="J16" s="17"/>
      <c r="K16" s="18"/>
      <c r="L16" s="10">
        <f t="shared" si="1"/>
        <v>0</v>
      </c>
      <c r="M16" s="10">
        <f t="shared" si="2"/>
        <v>0</v>
      </c>
      <c r="N16" s="10">
        <f t="shared" si="3"/>
        <v>0</v>
      </c>
      <c r="O16" s="10">
        <f t="shared" si="4"/>
        <v>0</v>
      </c>
      <c r="P16" s="10">
        <f t="shared" si="5"/>
        <v>0</v>
      </c>
    </row>
    <row r="17" spans="1:16" x14ac:dyDescent="0.25">
      <c r="A17" s="108"/>
      <c r="B17" s="126"/>
      <c r="C17" s="100"/>
      <c r="D17" s="100"/>
      <c r="E17" s="8" t="s">
        <v>12</v>
      </c>
      <c r="F17" s="19" t="s">
        <v>23</v>
      </c>
      <c r="G17" s="10">
        <v>268.77</v>
      </c>
      <c r="H17" s="16">
        <v>173.66</v>
      </c>
      <c r="I17" s="12"/>
      <c r="J17" s="17"/>
      <c r="K17" s="14">
        <v>158.94</v>
      </c>
      <c r="L17" s="10">
        <f t="shared" si="1"/>
        <v>268.77</v>
      </c>
      <c r="M17" s="10">
        <f t="shared" si="2"/>
        <v>173.66</v>
      </c>
      <c r="N17" s="10">
        <f t="shared" si="3"/>
        <v>0</v>
      </c>
      <c r="O17" s="10">
        <f t="shared" si="4"/>
        <v>0</v>
      </c>
      <c r="P17" s="10">
        <f t="shared" si="5"/>
        <v>158.94</v>
      </c>
    </row>
    <row r="18" spans="1:16" x14ac:dyDescent="0.25">
      <c r="A18" s="108"/>
      <c r="B18" s="126"/>
      <c r="C18" s="100"/>
      <c r="D18" s="100"/>
      <c r="E18" s="8" t="s">
        <v>13</v>
      </c>
      <c r="F18" s="19" t="s">
        <v>23</v>
      </c>
      <c r="G18" s="25" t="s">
        <v>45</v>
      </c>
      <c r="H18" s="16">
        <v>3181.66</v>
      </c>
      <c r="I18" s="12"/>
      <c r="J18" s="17"/>
      <c r="K18" s="14">
        <v>5373.15</v>
      </c>
      <c r="L18" s="10">
        <f t="shared" si="1"/>
        <v>0</v>
      </c>
      <c r="M18" s="10">
        <f t="shared" si="2"/>
        <v>3181.66</v>
      </c>
      <c r="N18" s="10">
        <f t="shared" si="3"/>
        <v>0</v>
      </c>
      <c r="O18" s="10">
        <f t="shared" si="4"/>
        <v>0</v>
      </c>
      <c r="P18" s="10">
        <f t="shared" si="5"/>
        <v>5373.15</v>
      </c>
    </row>
    <row r="19" spans="1:16" x14ac:dyDescent="0.25">
      <c r="A19" s="108"/>
      <c r="B19" s="127"/>
      <c r="C19" s="101"/>
      <c r="D19" s="101"/>
      <c r="E19" s="8" t="s">
        <v>17</v>
      </c>
      <c r="F19" s="19" t="s">
        <v>24</v>
      </c>
      <c r="G19" s="10">
        <v>7480.76</v>
      </c>
      <c r="H19" s="11"/>
      <c r="I19" s="12"/>
      <c r="J19" s="13">
        <v>21451.68</v>
      </c>
      <c r="K19" s="14">
        <v>15612.41</v>
      </c>
      <c r="L19" s="10">
        <f t="shared" si="1"/>
        <v>7480.76</v>
      </c>
      <c r="M19" s="10">
        <f t="shared" si="2"/>
        <v>0</v>
      </c>
      <c r="N19" s="10">
        <f t="shared" si="3"/>
        <v>0</v>
      </c>
      <c r="O19" s="10">
        <f t="shared" si="4"/>
        <v>21451.68</v>
      </c>
      <c r="P19" s="10">
        <f t="shared" si="5"/>
        <v>15612.41</v>
      </c>
    </row>
    <row r="20" spans="1:16" x14ac:dyDescent="0.25">
      <c r="A20" s="108" t="s">
        <v>138</v>
      </c>
      <c r="B20" s="125">
        <v>6</v>
      </c>
      <c r="C20" s="93" t="s">
        <v>27</v>
      </c>
      <c r="D20" s="96" t="s">
        <v>28</v>
      </c>
      <c r="E20" s="84" t="s">
        <v>11</v>
      </c>
      <c r="F20" s="85"/>
      <c r="G20" s="15"/>
      <c r="H20" s="16">
        <v>131.66</v>
      </c>
      <c r="I20" s="12"/>
      <c r="J20" s="13">
        <v>54.04</v>
      </c>
      <c r="K20" s="18"/>
      <c r="L20" s="10">
        <f t="shared" si="1"/>
        <v>0</v>
      </c>
      <c r="M20" s="10">
        <f t="shared" si="2"/>
        <v>131.66</v>
      </c>
      <c r="N20" s="10">
        <f t="shared" si="3"/>
        <v>0</v>
      </c>
      <c r="O20" s="10">
        <f t="shared" si="4"/>
        <v>54.04</v>
      </c>
      <c r="P20" s="10">
        <f t="shared" si="5"/>
        <v>0</v>
      </c>
    </row>
    <row r="21" spans="1:16" x14ac:dyDescent="0.25">
      <c r="A21" s="108"/>
      <c r="B21" s="126"/>
      <c r="C21" s="94"/>
      <c r="D21" s="97"/>
      <c r="E21" s="86" t="s">
        <v>16</v>
      </c>
      <c r="F21" s="87"/>
      <c r="G21" s="10">
        <v>220</v>
      </c>
      <c r="H21" s="11"/>
      <c r="I21" s="12"/>
      <c r="J21" s="17"/>
      <c r="K21" s="14">
        <v>90.75</v>
      </c>
      <c r="L21" s="10">
        <f t="shared" si="1"/>
        <v>220</v>
      </c>
      <c r="M21" s="10">
        <f t="shared" si="2"/>
        <v>0</v>
      </c>
      <c r="N21" s="10">
        <f t="shared" si="3"/>
        <v>0</v>
      </c>
      <c r="O21" s="10">
        <f t="shared" si="4"/>
        <v>0</v>
      </c>
      <c r="P21" s="10">
        <f t="shared" si="5"/>
        <v>90.75</v>
      </c>
    </row>
    <row r="22" spans="1:16" x14ac:dyDescent="0.25">
      <c r="A22" s="108"/>
      <c r="B22" s="126"/>
      <c r="C22" s="94"/>
      <c r="D22" s="97"/>
      <c r="E22" s="88" t="s">
        <v>13</v>
      </c>
      <c r="F22" s="89"/>
      <c r="G22" s="25" t="s">
        <v>45</v>
      </c>
      <c r="H22" s="11"/>
      <c r="I22" s="12"/>
      <c r="J22" s="17"/>
      <c r="K22" s="14">
        <v>35.58</v>
      </c>
      <c r="L22" s="10">
        <f t="shared" si="1"/>
        <v>0</v>
      </c>
      <c r="M22" s="10">
        <f t="shared" si="2"/>
        <v>0</v>
      </c>
      <c r="N22" s="10">
        <f t="shared" si="3"/>
        <v>0</v>
      </c>
      <c r="O22" s="10">
        <f t="shared" si="4"/>
        <v>0</v>
      </c>
      <c r="P22" s="10">
        <f t="shared" si="5"/>
        <v>35.58</v>
      </c>
    </row>
    <row r="23" spans="1:16" x14ac:dyDescent="0.25">
      <c r="A23" s="108"/>
      <c r="B23" s="127"/>
      <c r="C23" s="95"/>
      <c r="D23" s="98"/>
      <c r="E23" s="88" t="s">
        <v>17</v>
      </c>
      <c r="F23" s="89"/>
      <c r="G23" s="10">
        <v>96</v>
      </c>
      <c r="H23" s="11"/>
      <c r="I23" s="12"/>
      <c r="J23" s="17"/>
      <c r="K23" s="14">
        <v>34.42</v>
      </c>
      <c r="L23" s="10">
        <f t="shared" si="1"/>
        <v>96</v>
      </c>
      <c r="M23" s="10">
        <f t="shared" si="2"/>
        <v>0</v>
      </c>
      <c r="N23" s="10">
        <f t="shared" si="3"/>
        <v>0</v>
      </c>
      <c r="O23" s="10">
        <f t="shared" si="4"/>
        <v>0</v>
      </c>
      <c r="P23" s="10">
        <f t="shared" si="5"/>
        <v>34.42</v>
      </c>
    </row>
    <row r="24" spans="1:16" x14ac:dyDescent="0.25">
      <c r="A24" s="108" t="s">
        <v>138</v>
      </c>
      <c r="B24" s="125">
        <v>7</v>
      </c>
      <c r="C24" s="90" t="s">
        <v>29</v>
      </c>
      <c r="D24" s="81" t="s">
        <v>30</v>
      </c>
      <c r="E24" s="84" t="s">
        <v>11</v>
      </c>
      <c r="F24" s="85"/>
      <c r="G24" s="15"/>
      <c r="H24" s="16">
        <v>99.77</v>
      </c>
      <c r="I24" s="12"/>
      <c r="J24" s="13">
        <v>99.84</v>
      </c>
      <c r="K24" s="18"/>
      <c r="L24" s="10">
        <f t="shared" si="1"/>
        <v>0</v>
      </c>
      <c r="M24" s="10">
        <f t="shared" si="2"/>
        <v>99.77</v>
      </c>
      <c r="N24" s="10">
        <f t="shared" si="3"/>
        <v>0</v>
      </c>
      <c r="O24" s="10">
        <f t="shared" si="4"/>
        <v>99.84</v>
      </c>
      <c r="P24" s="10">
        <f t="shared" si="5"/>
        <v>0</v>
      </c>
    </row>
    <row r="25" spans="1:16" x14ac:dyDescent="0.25">
      <c r="A25" s="108"/>
      <c r="B25" s="126"/>
      <c r="C25" s="91"/>
      <c r="D25" s="82"/>
      <c r="E25" s="86" t="s">
        <v>16</v>
      </c>
      <c r="F25" s="87"/>
      <c r="G25" s="10">
        <v>99.84</v>
      </c>
      <c r="H25" s="11"/>
      <c r="I25" s="12"/>
      <c r="J25" s="17"/>
      <c r="K25" s="14">
        <v>99.62</v>
      </c>
      <c r="L25" s="10">
        <f t="shared" si="1"/>
        <v>99.84</v>
      </c>
      <c r="M25" s="10">
        <f t="shared" si="2"/>
        <v>0</v>
      </c>
      <c r="N25" s="10">
        <f t="shared" si="3"/>
        <v>0</v>
      </c>
      <c r="O25" s="10">
        <f t="shared" si="4"/>
        <v>0</v>
      </c>
      <c r="P25" s="10">
        <f t="shared" si="5"/>
        <v>99.62</v>
      </c>
    </row>
    <row r="26" spans="1:16" x14ac:dyDescent="0.25">
      <c r="A26" s="108"/>
      <c r="B26" s="126"/>
      <c r="C26" s="91"/>
      <c r="D26" s="82"/>
      <c r="E26" s="88" t="s">
        <v>13</v>
      </c>
      <c r="F26" s="89"/>
      <c r="G26" s="25" t="s">
        <v>45</v>
      </c>
      <c r="H26" s="11"/>
      <c r="I26" s="12"/>
      <c r="J26" s="17"/>
      <c r="K26" s="14">
        <v>97.48</v>
      </c>
      <c r="L26" s="10">
        <f t="shared" si="1"/>
        <v>0</v>
      </c>
      <c r="M26" s="10">
        <f t="shared" si="2"/>
        <v>0</v>
      </c>
      <c r="N26" s="10">
        <f t="shared" si="3"/>
        <v>0</v>
      </c>
      <c r="O26" s="10">
        <f t="shared" si="4"/>
        <v>0</v>
      </c>
      <c r="P26" s="10">
        <f t="shared" si="5"/>
        <v>97.48</v>
      </c>
    </row>
    <row r="27" spans="1:16" x14ac:dyDescent="0.25">
      <c r="A27" s="108"/>
      <c r="B27" s="127"/>
      <c r="C27" s="92"/>
      <c r="D27" s="83"/>
      <c r="E27" s="88" t="s">
        <v>17</v>
      </c>
      <c r="F27" s="89"/>
      <c r="G27" s="10">
        <v>98.42</v>
      </c>
      <c r="H27" s="11"/>
      <c r="I27" s="12"/>
      <c r="J27" s="17"/>
      <c r="K27" s="14">
        <v>99.9</v>
      </c>
      <c r="L27" s="10">
        <f t="shared" si="1"/>
        <v>98.42</v>
      </c>
      <c r="M27" s="10">
        <f t="shared" si="2"/>
        <v>0</v>
      </c>
      <c r="N27" s="10">
        <f t="shared" si="3"/>
        <v>0</v>
      </c>
      <c r="O27" s="10">
        <f t="shared" si="4"/>
        <v>0</v>
      </c>
      <c r="P27" s="10">
        <f t="shared" si="5"/>
        <v>99.9</v>
      </c>
    </row>
    <row r="28" spans="1:16" x14ac:dyDescent="0.25">
      <c r="A28" s="108" t="s">
        <v>138</v>
      </c>
      <c r="B28" s="125">
        <v>8</v>
      </c>
      <c r="C28" s="78" t="s">
        <v>31</v>
      </c>
      <c r="D28" s="81" t="s">
        <v>32</v>
      </c>
      <c r="E28" s="84" t="s">
        <v>11</v>
      </c>
      <c r="F28" s="85"/>
      <c r="G28" s="15"/>
      <c r="H28" s="16">
        <v>0.94</v>
      </c>
      <c r="I28" s="12"/>
      <c r="J28" s="13">
        <v>0.41</v>
      </c>
      <c r="K28" s="18"/>
      <c r="L28" s="10">
        <f t="shared" si="1"/>
        <v>0</v>
      </c>
      <c r="M28" s="10">
        <f t="shared" si="2"/>
        <v>0.94</v>
      </c>
      <c r="N28" s="10">
        <f t="shared" si="3"/>
        <v>0</v>
      </c>
      <c r="O28" s="10">
        <f t="shared" si="4"/>
        <v>0.41</v>
      </c>
      <c r="P28" s="10">
        <f t="shared" si="5"/>
        <v>0</v>
      </c>
    </row>
    <row r="29" spans="1:16" x14ac:dyDescent="0.25">
      <c r="A29" s="108"/>
      <c r="B29" s="126"/>
      <c r="C29" s="79"/>
      <c r="D29" s="82"/>
      <c r="E29" s="86" t="s">
        <v>16</v>
      </c>
      <c r="F29" s="87"/>
      <c r="G29" s="10">
        <v>4.93</v>
      </c>
      <c r="H29" s="11"/>
      <c r="I29" s="12"/>
      <c r="J29" s="17"/>
      <c r="K29" s="14">
        <v>4.54</v>
      </c>
      <c r="L29" s="10">
        <f t="shared" si="1"/>
        <v>4.93</v>
      </c>
      <c r="M29" s="10">
        <f t="shared" si="2"/>
        <v>0</v>
      </c>
      <c r="N29" s="10">
        <f t="shared" si="3"/>
        <v>0</v>
      </c>
      <c r="O29" s="10">
        <f t="shared" si="4"/>
        <v>0</v>
      </c>
      <c r="P29" s="10">
        <f t="shared" si="5"/>
        <v>4.54</v>
      </c>
    </row>
    <row r="30" spans="1:16" x14ac:dyDescent="0.25">
      <c r="A30" s="108"/>
      <c r="B30" s="126"/>
      <c r="C30" s="79"/>
      <c r="D30" s="82"/>
      <c r="E30" s="88" t="s">
        <v>13</v>
      </c>
      <c r="F30" s="89"/>
      <c r="G30" s="25" t="s">
        <v>45</v>
      </c>
      <c r="H30" s="11"/>
      <c r="I30" s="12"/>
      <c r="J30" s="17"/>
      <c r="K30" s="14">
        <v>0.99</v>
      </c>
      <c r="L30" s="10">
        <f t="shared" si="1"/>
        <v>0</v>
      </c>
      <c r="M30" s="10">
        <f t="shared" si="2"/>
        <v>0</v>
      </c>
      <c r="N30" s="10">
        <f t="shared" si="3"/>
        <v>0</v>
      </c>
      <c r="O30" s="10">
        <f t="shared" si="4"/>
        <v>0</v>
      </c>
      <c r="P30" s="10">
        <f t="shared" si="5"/>
        <v>0.99</v>
      </c>
    </row>
    <row r="31" spans="1:16" x14ac:dyDescent="0.25">
      <c r="A31" s="108"/>
      <c r="B31" s="127"/>
      <c r="C31" s="80"/>
      <c r="D31" s="83"/>
      <c r="E31" s="88" t="s">
        <v>17</v>
      </c>
      <c r="F31" s="89"/>
      <c r="G31" s="10">
        <v>1.05</v>
      </c>
      <c r="H31" s="11"/>
      <c r="I31" s="12"/>
      <c r="J31" s="17"/>
      <c r="K31" s="14">
        <v>0.25</v>
      </c>
      <c r="L31" s="10">
        <f t="shared" si="1"/>
        <v>1.05</v>
      </c>
      <c r="M31" s="10">
        <f t="shared" si="2"/>
        <v>0</v>
      </c>
      <c r="N31" s="10">
        <f t="shared" si="3"/>
        <v>0</v>
      </c>
      <c r="O31" s="10">
        <f t="shared" si="4"/>
        <v>0</v>
      </c>
      <c r="P31" s="10">
        <f t="shared" si="5"/>
        <v>0.25</v>
      </c>
    </row>
  </sheetData>
  <mergeCells count="55">
    <mergeCell ref="E2:F2"/>
    <mergeCell ref="E3:F3"/>
    <mergeCell ref="B4:B7"/>
    <mergeCell ref="C4:C7"/>
    <mergeCell ref="D4:D7"/>
    <mergeCell ref="E4:F4"/>
    <mergeCell ref="E5:F5"/>
    <mergeCell ref="E20:F20"/>
    <mergeCell ref="E21:F21"/>
    <mergeCell ref="E22:F22"/>
    <mergeCell ref="E23:F23"/>
    <mergeCell ref="E11:F11"/>
    <mergeCell ref="E28:F28"/>
    <mergeCell ref="E29:F29"/>
    <mergeCell ref="E30:F30"/>
    <mergeCell ref="E31:F31"/>
    <mergeCell ref="B24:B27"/>
    <mergeCell ref="C24:C27"/>
    <mergeCell ref="D24:D27"/>
    <mergeCell ref="E24:F24"/>
    <mergeCell ref="E25:F25"/>
    <mergeCell ref="E26:F26"/>
    <mergeCell ref="E27:F27"/>
    <mergeCell ref="E1:F1"/>
    <mergeCell ref="A2:A3"/>
    <mergeCell ref="A4:A7"/>
    <mergeCell ref="A8:A11"/>
    <mergeCell ref="A12:A15"/>
    <mergeCell ref="B12:B15"/>
    <mergeCell ref="C12:C15"/>
    <mergeCell ref="D12:D15"/>
    <mergeCell ref="E6:F6"/>
    <mergeCell ref="E7:F7"/>
    <mergeCell ref="E8:F8"/>
    <mergeCell ref="E9:F9"/>
    <mergeCell ref="E10:F10"/>
    <mergeCell ref="B2:B3"/>
    <mergeCell ref="C2:C3"/>
    <mergeCell ref="D2:D3"/>
    <mergeCell ref="A20:A23"/>
    <mergeCell ref="A24:A27"/>
    <mergeCell ref="A28:A31"/>
    <mergeCell ref="C8:C11"/>
    <mergeCell ref="D8:D11"/>
    <mergeCell ref="B8:B11"/>
    <mergeCell ref="A16:A19"/>
    <mergeCell ref="B28:B31"/>
    <mergeCell ref="C28:C31"/>
    <mergeCell ref="D28:D31"/>
    <mergeCell ref="B20:B23"/>
    <mergeCell ref="C20:C23"/>
    <mergeCell ref="D20:D23"/>
    <mergeCell ref="B16:B19"/>
    <mergeCell ref="C16:C19"/>
    <mergeCell ref="D16:D1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workbookViewId="0">
      <selection activeCell="L3" sqref="L3"/>
    </sheetView>
  </sheetViews>
  <sheetFormatPr defaultRowHeight="13.2" x14ac:dyDescent="0.25"/>
  <cols>
    <col min="1" max="1" width="27.21875" customWidth="1"/>
  </cols>
  <sheetData>
    <row r="1" spans="1:16" ht="40.799999999999997" x14ac:dyDescent="0.25">
      <c r="A1" s="31" t="s">
        <v>115</v>
      </c>
      <c r="B1" s="72" t="s">
        <v>0</v>
      </c>
      <c r="C1" s="66" t="s">
        <v>1</v>
      </c>
      <c r="D1" s="67" t="s">
        <v>2</v>
      </c>
      <c r="E1" s="109" t="s">
        <v>3</v>
      </c>
      <c r="F1" s="109"/>
      <c r="G1" s="34" t="s">
        <v>4</v>
      </c>
      <c r="H1" s="35" t="s">
        <v>5</v>
      </c>
      <c r="I1" s="36" t="s">
        <v>6</v>
      </c>
      <c r="J1" s="37" t="s">
        <v>7</v>
      </c>
      <c r="K1" s="38" t="s">
        <v>8</v>
      </c>
      <c r="L1" s="34" t="s">
        <v>4</v>
      </c>
      <c r="M1" s="35" t="s">
        <v>5</v>
      </c>
      <c r="N1" s="36" t="s">
        <v>6</v>
      </c>
      <c r="O1" s="37" t="s">
        <v>7</v>
      </c>
      <c r="P1" s="38" t="s">
        <v>8</v>
      </c>
    </row>
    <row r="2" spans="1:16" x14ac:dyDescent="0.25">
      <c r="A2" s="107" t="s">
        <v>139</v>
      </c>
      <c r="B2" s="125">
        <v>1</v>
      </c>
      <c r="C2" s="104" t="s">
        <v>9</v>
      </c>
      <c r="D2" s="104" t="s">
        <v>54</v>
      </c>
      <c r="E2" s="84" t="s">
        <v>11</v>
      </c>
      <c r="F2" s="85"/>
      <c r="G2" s="10">
        <v>100</v>
      </c>
      <c r="H2" s="16">
        <v>97.5</v>
      </c>
      <c r="I2" s="12"/>
      <c r="J2" s="13">
        <v>98.48</v>
      </c>
      <c r="K2" s="14">
        <v>99.95</v>
      </c>
      <c r="L2" s="10">
        <f>IF(OR(G2="NA", G2=0),0,(1*G2))</f>
        <v>100</v>
      </c>
      <c r="M2" s="10">
        <f t="shared" ref="M2:P2" si="0">IF(OR(H2="NA", H2=0),0,(1*H2))</f>
        <v>97.5</v>
      </c>
      <c r="N2" s="10">
        <f t="shared" si="0"/>
        <v>0</v>
      </c>
      <c r="O2" s="10">
        <f t="shared" si="0"/>
        <v>98.48</v>
      </c>
      <c r="P2" s="10">
        <f t="shared" si="0"/>
        <v>99.95</v>
      </c>
    </row>
    <row r="3" spans="1:16" x14ac:dyDescent="0.25">
      <c r="A3" s="108"/>
      <c r="B3" s="127"/>
      <c r="C3" s="106"/>
      <c r="D3" s="106"/>
      <c r="E3" s="86" t="s">
        <v>16</v>
      </c>
      <c r="F3" s="87"/>
      <c r="G3" s="15"/>
      <c r="H3" s="11"/>
      <c r="I3" s="12"/>
      <c r="J3" s="17"/>
      <c r="K3" s="18"/>
      <c r="L3" s="10">
        <f t="shared" ref="L3:L31" si="1">IF(OR(G3="NA", G3=0),0,(1*G3))</f>
        <v>0</v>
      </c>
      <c r="M3" s="10">
        <f t="shared" ref="M3:M31" si="2">IF(OR(H3="NA", H3=0),0,(1*H3))</f>
        <v>0</v>
      </c>
      <c r="N3" s="10">
        <f t="shared" ref="N3:N31" si="3">IF(OR(I3="NA", I3=0),0,(1*I3))</f>
        <v>0</v>
      </c>
      <c r="O3" s="10">
        <f t="shared" ref="O3:O31" si="4">IF(OR(J3="NA", J3=0),0,(1*J3))</f>
        <v>0</v>
      </c>
      <c r="P3" s="10">
        <f t="shared" ref="P3:P31" si="5">IF(OR(K3="NA", K3=0),0,(1*K3))</f>
        <v>0</v>
      </c>
    </row>
    <row r="4" spans="1:16" x14ac:dyDescent="0.25">
      <c r="A4" s="108" t="s">
        <v>139</v>
      </c>
      <c r="B4" s="125">
        <v>2</v>
      </c>
      <c r="C4" s="93" t="s">
        <v>14</v>
      </c>
      <c r="D4" s="93" t="s">
        <v>15</v>
      </c>
      <c r="E4" s="84" t="s">
        <v>11</v>
      </c>
      <c r="F4" s="85"/>
      <c r="G4" s="15"/>
      <c r="H4" s="16">
        <v>94.6</v>
      </c>
      <c r="I4" s="12"/>
      <c r="J4" s="13">
        <v>100</v>
      </c>
      <c r="K4" s="18"/>
      <c r="L4" s="10">
        <f t="shared" si="1"/>
        <v>0</v>
      </c>
      <c r="M4" s="10">
        <f t="shared" si="2"/>
        <v>94.6</v>
      </c>
      <c r="N4" s="10">
        <f t="shared" si="3"/>
        <v>0</v>
      </c>
      <c r="O4" s="10">
        <f t="shared" si="4"/>
        <v>100</v>
      </c>
      <c r="P4" s="10">
        <f t="shared" si="5"/>
        <v>0</v>
      </c>
    </row>
    <row r="5" spans="1:16" x14ac:dyDescent="0.25">
      <c r="A5" s="108"/>
      <c r="B5" s="126"/>
      <c r="C5" s="94"/>
      <c r="D5" s="94"/>
      <c r="E5" s="86" t="s">
        <v>16</v>
      </c>
      <c r="F5" s="87"/>
      <c r="G5" s="10">
        <v>100</v>
      </c>
      <c r="H5" s="11"/>
      <c r="I5" s="12"/>
      <c r="J5" s="17"/>
      <c r="K5" s="14">
        <v>100</v>
      </c>
      <c r="L5" s="10">
        <f t="shared" si="1"/>
        <v>100</v>
      </c>
      <c r="M5" s="10">
        <f t="shared" si="2"/>
        <v>0</v>
      </c>
      <c r="N5" s="10">
        <f t="shared" si="3"/>
        <v>0</v>
      </c>
      <c r="O5" s="10">
        <f t="shared" si="4"/>
        <v>0</v>
      </c>
      <c r="P5" s="10">
        <f t="shared" si="5"/>
        <v>100</v>
      </c>
    </row>
    <row r="6" spans="1:16" x14ac:dyDescent="0.25">
      <c r="A6" s="108"/>
      <c r="B6" s="126"/>
      <c r="C6" s="94"/>
      <c r="D6" s="94"/>
      <c r="E6" s="88" t="s">
        <v>13</v>
      </c>
      <c r="F6" s="89"/>
      <c r="G6" s="25" t="s">
        <v>45</v>
      </c>
      <c r="H6" s="11"/>
      <c r="I6" s="12"/>
      <c r="J6" s="17"/>
      <c r="K6" s="14">
        <v>100</v>
      </c>
      <c r="L6" s="10">
        <f t="shared" si="1"/>
        <v>0</v>
      </c>
      <c r="M6" s="10">
        <f t="shared" si="2"/>
        <v>0</v>
      </c>
      <c r="N6" s="10">
        <f t="shared" si="3"/>
        <v>0</v>
      </c>
      <c r="O6" s="10">
        <f t="shared" si="4"/>
        <v>0</v>
      </c>
      <c r="P6" s="10">
        <f t="shared" si="5"/>
        <v>100</v>
      </c>
    </row>
    <row r="7" spans="1:16" x14ac:dyDescent="0.25">
      <c r="A7" s="108"/>
      <c r="B7" s="127"/>
      <c r="C7" s="95"/>
      <c r="D7" s="95"/>
      <c r="E7" s="88" t="s">
        <v>17</v>
      </c>
      <c r="F7" s="89"/>
      <c r="G7" s="10">
        <v>100</v>
      </c>
      <c r="H7" s="11"/>
      <c r="I7" s="12"/>
      <c r="J7" s="17"/>
      <c r="K7" s="14">
        <v>100</v>
      </c>
      <c r="L7" s="10">
        <f t="shared" si="1"/>
        <v>100</v>
      </c>
      <c r="M7" s="10">
        <f t="shared" si="2"/>
        <v>0</v>
      </c>
      <c r="N7" s="10">
        <f t="shared" si="3"/>
        <v>0</v>
      </c>
      <c r="O7" s="10">
        <f t="shared" si="4"/>
        <v>0</v>
      </c>
      <c r="P7" s="10">
        <f t="shared" si="5"/>
        <v>100</v>
      </c>
    </row>
    <row r="8" spans="1:16" x14ac:dyDescent="0.25">
      <c r="A8" s="108" t="s">
        <v>139</v>
      </c>
      <c r="B8" s="125">
        <v>3</v>
      </c>
      <c r="C8" s="93" t="s">
        <v>18</v>
      </c>
      <c r="D8" s="93" t="s">
        <v>19</v>
      </c>
      <c r="E8" s="84" t="s">
        <v>11</v>
      </c>
      <c r="F8" s="85"/>
      <c r="G8" s="15"/>
      <c r="H8" s="16">
        <v>91.5</v>
      </c>
      <c r="I8" s="12"/>
      <c r="J8" s="13">
        <v>100</v>
      </c>
      <c r="K8" s="18"/>
      <c r="L8" s="10">
        <f t="shared" si="1"/>
        <v>0</v>
      </c>
      <c r="M8" s="10">
        <f t="shared" si="2"/>
        <v>91.5</v>
      </c>
      <c r="N8" s="10">
        <f t="shared" si="3"/>
        <v>0</v>
      </c>
      <c r="O8" s="10">
        <f t="shared" si="4"/>
        <v>100</v>
      </c>
      <c r="P8" s="10">
        <f t="shared" si="5"/>
        <v>0</v>
      </c>
    </row>
    <row r="9" spans="1:16" x14ac:dyDescent="0.25">
      <c r="A9" s="108"/>
      <c r="B9" s="126"/>
      <c r="C9" s="94"/>
      <c r="D9" s="94"/>
      <c r="E9" s="86" t="s">
        <v>16</v>
      </c>
      <c r="F9" s="87"/>
      <c r="G9" s="10">
        <v>100</v>
      </c>
      <c r="H9" s="11"/>
      <c r="I9" s="12"/>
      <c r="J9" s="17"/>
      <c r="K9" s="14">
        <v>100</v>
      </c>
      <c r="L9" s="10">
        <f t="shared" si="1"/>
        <v>100</v>
      </c>
      <c r="M9" s="10">
        <f t="shared" si="2"/>
        <v>0</v>
      </c>
      <c r="N9" s="10">
        <f t="shared" si="3"/>
        <v>0</v>
      </c>
      <c r="O9" s="10">
        <f t="shared" si="4"/>
        <v>0</v>
      </c>
      <c r="P9" s="10">
        <f t="shared" si="5"/>
        <v>100</v>
      </c>
    </row>
    <row r="10" spans="1:16" x14ac:dyDescent="0.25">
      <c r="A10" s="108"/>
      <c r="B10" s="126"/>
      <c r="C10" s="94"/>
      <c r="D10" s="94"/>
      <c r="E10" s="88" t="s">
        <v>13</v>
      </c>
      <c r="F10" s="89"/>
      <c r="G10" s="25" t="s">
        <v>45</v>
      </c>
      <c r="H10" s="11"/>
      <c r="I10" s="12"/>
      <c r="J10" s="17"/>
      <c r="K10" s="14">
        <v>100</v>
      </c>
      <c r="L10" s="10">
        <f t="shared" si="1"/>
        <v>0</v>
      </c>
      <c r="M10" s="10">
        <f t="shared" si="2"/>
        <v>0</v>
      </c>
      <c r="N10" s="10">
        <f t="shared" si="3"/>
        <v>0</v>
      </c>
      <c r="O10" s="10">
        <f t="shared" si="4"/>
        <v>0</v>
      </c>
      <c r="P10" s="10">
        <f t="shared" si="5"/>
        <v>100</v>
      </c>
    </row>
    <row r="11" spans="1:16" x14ac:dyDescent="0.25">
      <c r="A11" s="108"/>
      <c r="B11" s="127"/>
      <c r="C11" s="95"/>
      <c r="D11" s="95"/>
      <c r="E11" s="88" t="s">
        <v>17</v>
      </c>
      <c r="F11" s="89"/>
      <c r="G11" s="10">
        <v>100</v>
      </c>
      <c r="H11" s="11"/>
      <c r="I11" s="12"/>
      <c r="J11" s="17"/>
      <c r="K11" s="14">
        <v>100</v>
      </c>
      <c r="L11" s="10">
        <f t="shared" si="1"/>
        <v>100</v>
      </c>
      <c r="M11" s="10">
        <f t="shared" si="2"/>
        <v>0</v>
      </c>
      <c r="N11" s="10">
        <f t="shared" si="3"/>
        <v>0</v>
      </c>
      <c r="O11" s="10">
        <f t="shared" si="4"/>
        <v>0</v>
      </c>
      <c r="P11" s="10">
        <f t="shared" si="5"/>
        <v>100</v>
      </c>
    </row>
    <row r="12" spans="1:16" x14ac:dyDescent="0.25">
      <c r="A12" s="108" t="s">
        <v>139</v>
      </c>
      <c r="B12" s="125">
        <v>4</v>
      </c>
      <c r="C12" s="99" t="s">
        <v>20</v>
      </c>
      <c r="D12" s="99" t="s">
        <v>21</v>
      </c>
      <c r="E12" s="8" t="s">
        <v>22</v>
      </c>
      <c r="F12" s="19" t="s">
        <v>23</v>
      </c>
      <c r="G12" s="15"/>
      <c r="H12" s="11"/>
      <c r="I12" s="12"/>
      <c r="J12" s="17"/>
      <c r="K12" s="18"/>
      <c r="L12" s="10">
        <f t="shared" si="1"/>
        <v>0</v>
      </c>
      <c r="M12" s="10">
        <f t="shared" si="2"/>
        <v>0</v>
      </c>
      <c r="N12" s="10">
        <f t="shared" si="3"/>
        <v>0</v>
      </c>
      <c r="O12" s="10">
        <f t="shared" si="4"/>
        <v>0</v>
      </c>
      <c r="P12" s="10">
        <f t="shared" si="5"/>
        <v>0</v>
      </c>
    </row>
    <row r="13" spans="1:16" x14ac:dyDescent="0.25">
      <c r="A13" s="108"/>
      <c r="B13" s="126"/>
      <c r="C13" s="100"/>
      <c r="D13" s="100"/>
      <c r="E13" s="8" t="s">
        <v>12</v>
      </c>
      <c r="F13" s="19" t="s">
        <v>23</v>
      </c>
      <c r="G13" s="10">
        <v>68.34</v>
      </c>
      <c r="H13" s="16">
        <v>98</v>
      </c>
      <c r="I13" s="12"/>
      <c r="J13" s="17"/>
      <c r="K13" s="14">
        <v>113.67</v>
      </c>
      <c r="L13" s="10">
        <f t="shared" si="1"/>
        <v>68.34</v>
      </c>
      <c r="M13" s="10">
        <f t="shared" si="2"/>
        <v>98</v>
      </c>
      <c r="N13" s="10">
        <f t="shared" si="3"/>
        <v>0</v>
      </c>
      <c r="O13" s="10">
        <f t="shared" si="4"/>
        <v>0</v>
      </c>
      <c r="P13" s="10">
        <f t="shared" si="5"/>
        <v>113.67</v>
      </c>
    </row>
    <row r="14" spans="1:16" x14ac:dyDescent="0.25">
      <c r="A14" s="108"/>
      <c r="B14" s="126"/>
      <c r="C14" s="100"/>
      <c r="D14" s="100"/>
      <c r="E14" s="8" t="s">
        <v>13</v>
      </c>
      <c r="F14" s="19" t="s">
        <v>23</v>
      </c>
      <c r="G14" s="25" t="s">
        <v>45</v>
      </c>
      <c r="H14" s="16">
        <v>1983</v>
      </c>
      <c r="I14" s="12"/>
      <c r="J14" s="17"/>
      <c r="K14" s="14">
        <v>3409.33</v>
      </c>
      <c r="L14" s="10">
        <f t="shared" si="1"/>
        <v>0</v>
      </c>
      <c r="M14" s="10">
        <f t="shared" si="2"/>
        <v>1983</v>
      </c>
      <c r="N14" s="10">
        <f t="shared" si="3"/>
        <v>0</v>
      </c>
      <c r="O14" s="10">
        <f t="shared" si="4"/>
        <v>0</v>
      </c>
      <c r="P14" s="10">
        <f t="shared" si="5"/>
        <v>3409.33</v>
      </c>
    </row>
    <row r="15" spans="1:16" x14ac:dyDescent="0.25">
      <c r="A15" s="108"/>
      <c r="B15" s="127"/>
      <c r="C15" s="101"/>
      <c r="D15" s="101"/>
      <c r="E15" s="8" t="s">
        <v>17</v>
      </c>
      <c r="F15" s="19" t="s">
        <v>24</v>
      </c>
      <c r="G15" s="10">
        <v>8589.86</v>
      </c>
      <c r="H15" s="11"/>
      <c r="I15" s="12"/>
      <c r="J15" s="13">
        <v>7737.45</v>
      </c>
      <c r="K15" s="14">
        <v>10597.67</v>
      </c>
      <c r="L15" s="10">
        <f t="shared" si="1"/>
        <v>8589.86</v>
      </c>
      <c r="M15" s="10">
        <f t="shared" si="2"/>
        <v>0</v>
      </c>
      <c r="N15" s="10">
        <f t="shared" si="3"/>
        <v>0</v>
      </c>
      <c r="O15" s="10">
        <f t="shared" si="4"/>
        <v>7737.45</v>
      </c>
      <c r="P15" s="10">
        <f t="shared" si="5"/>
        <v>10597.67</v>
      </c>
    </row>
    <row r="16" spans="1:16" x14ac:dyDescent="0.25">
      <c r="A16" s="108" t="s">
        <v>139</v>
      </c>
      <c r="B16" s="125">
        <v>5</v>
      </c>
      <c r="C16" s="99" t="s">
        <v>25</v>
      </c>
      <c r="D16" s="99" t="s">
        <v>26</v>
      </c>
      <c r="E16" s="8" t="s">
        <v>22</v>
      </c>
      <c r="F16" s="19" t="s">
        <v>23</v>
      </c>
      <c r="G16" s="15"/>
      <c r="H16" s="11"/>
      <c r="I16" s="12"/>
      <c r="J16" s="17"/>
      <c r="K16" s="18"/>
      <c r="L16" s="10">
        <f t="shared" si="1"/>
        <v>0</v>
      </c>
      <c r="M16" s="10">
        <f t="shared" si="2"/>
        <v>0</v>
      </c>
      <c r="N16" s="10">
        <f t="shared" si="3"/>
        <v>0</v>
      </c>
      <c r="O16" s="10">
        <f t="shared" si="4"/>
        <v>0</v>
      </c>
      <c r="P16" s="10">
        <f t="shared" si="5"/>
        <v>0</v>
      </c>
    </row>
    <row r="17" spans="1:16" x14ac:dyDescent="0.25">
      <c r="A17" s="108"/>
      <c r="B17" s="126"/>
      <c r="C17" s="100"/>
      <c r="D17" s="100"/>
      <c r="E17" s="8" t="s">
        <v>12</v>
      </c>
      <c r="F17" s="19" t="s">
        <v>23</v>
      </c>
      <c r="G17" s="10">
        <v>110.21</v>
      </c>
      <c r="H17" s="16">
        <v>162.66999999999999</v>
      </c>
      <c r="I17" s="12"/>
      <c r="J17" s="17"/>
      <c r="K17" s="14">
        <v>161</v>
      </c>
      <c r="L17" s="10">
        <f t="shared" si="1"/>
        <v>110.21</v>
      </c>
      <c r="M17" s="10">
        <f t="shared" si="2"/>
        <v>162.66999999999999</v>
      </c>
      <c r="N17" s="10">
        <f t="shared" si="3"/>
        <v>0</v>
      </c>
      <c r="O17" s="10">
        <f t="shared" si="4"/>
        <v>0</v>
      </c>
      <c r="P17" s="10">
        <f t="shared" si="5"/>
        <v>161</v>
      </c>
    </row>
    <row r="18" spans="1:16" x14ac:dyDescent="0.25">
      <c r="A18" s="108"/>
      <c r="B18" s="126"/>
      <c r="C18" s="100"/>
      <c r="D18" s="100"/>
      <c r="E18" s="8" t="s">
        <v>13</v>
      </c>
      <c r="F18" s="19" t="s">
        <v>23</v>
      </c>
      <c r="G18" s="25" t="s">
        <v>45</v>
      </c>
      <c r="H18" s="16">
        <v>2978</v>
      </c>
      <c r="I18" s="12"/>
      <c r="J18" s="17"/>
      <c r="K18" s="14">
        <v>6804</v>
      </c>
      <c r="L18" s="10">
        <f t="shared" si="1"/>
        <v>0</v>
      </c>
      <c r="M18" s="10">
        <f t="shared" si="2"/>
        <v>2978</v>
      </c>
      <c r="N18" s="10">
        <f t="shared" si="3"/>
        <v>0</v>
      </c>
      <c r="O18" s="10">
        <f t="shared" si="4"/>
        <v>0</v>
      </c>
      <c r="P18" s="10">
        <f t="shared" si="5"/>
        <v>6804</v>
      </c>
    </row>
    <row r="19" spans="1:16" x14ac:dyDescent="0.25">
      <c r="A19" s="108"/>
      <c r="B19" s="127"/>
      <c r="C19" s="101"/>
      <c r="D19" s="101"/>
      <c r="E19" s="8" t="s">
        <v>17</v>
      </c>
      <c r="F19" s="19" t="s">
        <v>24</v>
      </c>
      <c r="G19" s="10">
        <v>13083.59</v>
      </c>
      <c r="H19" s="11"/>
      <c r="I19" s="12"/>
      <c r="J19" s="13">
        <v>21085.759999999998</v>
      </c>
      <c r="K19" s="14">
        <v>30123.33</v>
      </c>
      <c r="L19" s="10">
        <f t="shared" si="1"/>
        <v>13083.59</v>
      </c>
      <c r="M19" s="10">
        <f t="shared" si="2"/>
        <v>0</v>
      </c>
      <c r="N19" s="10">
        <f t="shared" si="3"/>
        <v>0</v>
      </c>
      <c r="O19" s="10">
        <f t="shared" si="4"/>
        <v>21085.759999999998</v>
      </c>
      <c r="P19" s="10">
        <f t="shared" si="5"/>
        <v>30123.33</v>
      </c>
    </row>
    <row r="20" spans="1:16" x14ac:dyDescent="0.25">
      <c r="A20" s="108" t="s">
        <v>139</v>
      </c>
      <c r="B20" s="125">
        <v>6</v>
      </c>
      <c r="C20" s="93" t="s">
        <v>27</v>
      </c>
      <c r="D20" s="96" t="s">
        <v>28</v>
      </c>
      <c r="E20" s="84" t="s">
        <v>11</v>
      </c>
      <c r="F20" s="85"/>
      <c r="G20" s="15"/>
      <c r="H20" s="16">
        <v>230.7</v>
      </c>
      <c r="I20" s="12"/>
      <c r="J20" s="13">
        <v>55.18</v>
      </c>
      <c r="K20" s="18"/>
      <c r="L20" s="10">
        <f t="shared" si="1"/>
        <v>0</v>
      </c>
      <c r="M20" s="10">
        <f t="shared" si="2"/>
        <v>230.7</v>
      </c>
      <c r="N20" s="10">
        <f t="shared" si="3"/>
        <v>0</v>
      </c>
      <c r="O20" s="10">
        <f t="shared" si="4"/>
        <v>55.18</v>
      </c>
      <c r="P20" s="10">
        <f t="shared" si="5"/>
        <v>0</v>
      </c>
    </row>
    <row r="21" spans="1:16" x14ac:dyDescent="0.25">
      <c r="A21" s="108"/>
      <c r="B21" s="126"/>
      <c r="C21" s="94"/>
      <c r="D21" s="97"/>
      <c r="E21" s="86" t="s">
        <v>16</v>
      </c>
      <c r="F21" s="87"/>
      <c r="G21" s="10">
        <v>133</v>
      </c>
      <c r="H21" s="11"/>
      <c r="I21" s="12"/>
      <c r="J21" s="17"/>
      <c r="K21" s="14">
        <v>162.33000000000001</v>
      </c>
      <c r="L21" s="10">
        <f t="shared" si="1"/>
        <v>133</v>
      </c>
      <c r="M21" s="10">
        <f t="shared" si="2"/>
        <v>0</v>
      </c>
      <c r="N21" s="10">
        <f t="shared" si="3"/>
        <v>0</v>
      </c>
      <c r="O21" s="10">
        <f t="shared" si="4"/>
        <v>0</v>
      </c>
      <c r="P21" s="10">
        <f t="shared" si="5"/>
        <v>162.33000000000001</v>
      </c>
    </row>
    <row r="22" spans="1:16" x14ac:dyDescent="0.25">
      <c r="A22" s="108"/>
      <c r="B22" s="126"/>
      <c r="C22" s="94"/>
      <c r="D22" s="97"/>
      <c r="E22" s="88" t="s">
        <v>13</v>
      </c>
      <c r="F22" s="89"/>
      <c r="G22" s="25" t="s">
        <v>45</v>
      </c>
      <c r="H22" s="11"/>
      <c r="I22" s="12"/>
      <c r="J22" s="17"/>
      <c r="K22" s="14">
        <v>59.67</v>
      </c>
      <c r="L22" s="10">
        <f t="shared" si="1"/>
        <v>0</v>
      </c>
      <c r="M22" s="10">
        <f t="shared" si="2"/>
        <v>0</v>
      </c>
      <c r="N22" s="10">
        <f t="shared" si="3"/>
        <v>0</v>
      </c>
      <c r="O22" s="10">
        <f t="shared" si="4"/>
        <v>0</v>
      </c>
      <c r="P22" s="10">
        <f t="shared" si="5"/>
        <v>59.67</v>
      </c>
    </row>
    <row r="23" spans="1:16" x14ac:dyDescent="0.25">
      <c r="A23" s="108"/>
      <c r="B23" s="127"/>
      <c r="C23" s="95"/>
      <c r="D23" s="98"/>
      <c r="E23" s="88" t="s">
        <v>17</v>
      </c>
      <c r="F23" s="89"/>
      <c r="G23" s="10">
        <v>73</v>
      </c>
      <c r="H23" s="11"/>
      <c r="I23" s="12"/>
      <c r="J23" s="17"/>
      <c r="K23" s="14">
        <v>44.33</v>
      </c>
      <c r="L23" s="10">
        <f t="shared" si="1"/>
        <v>73</v>
      </c>
      <c r="M23" s="10">
        <f t="shared" si="2"/>
        <v>0</v>
      </c>
      <c r="N23" s="10">
        <f t="shared" si="3"/>
        <v>0</v>
      </c>
      <c r="O23" s="10">
        <f t="shared" si="4"/>
        <v>0</v>
      </c>
      <c r="P23" s="10">
        <f t="shared" si="5"/>
        <v>44.33</v>
      </c>
    </row>
    <row r="24" spans="1:16" x14ac:dyDescent="0.25">
      <c r="A24" s="108" t="s">
        <v>139</v>
      </c>
      <c r="B24" s="125">
        <v>7</v>
      </c>
      <c r="C24" s="90" t="s">
        <v>29</v>
      </c>
      <c r="D24" s="81" t="s">
        <v>30</v>
      </c>
      <c r="E24" s="84" t="s">
        <v>11</v>
      </c>
      <c r="F24" s="85"/>
      <c r="G24" s="15"/>
      <c r="H24" s="16">
        <v>97.3</v>
      </c>
      <c r="I24" s="12"/>
      <c r="J24" s="13">
        <v>99.85</v>
      </c>
      <c r="K24" s="18"/>
      <c r="L24" s="10">
        <f t="shared" si="1"/>
        <v>0</v>
      </c>
      <c r="M24" s="10">
        <f t="shared" si="2"/>
        <v>97.3</v>
      </c>
      <c r="N24" s="10">
        <f t="shared" si="3"/>
        <v>0</v>
      </c>
      <c r="O24" s="10">
        <f t="shared" si="4"/>
        <v>99.85</v>
      </c>
      <c r="P24" s="10">
        <f t="shared" si="5"/>
        <v>0</v>
      </c>
    </row>
    <row r="25" spans="1:16" x14ac:dyDescent="0.25">
      <c r="A25" s="108"/>
      <c r="B25" s="126"/>
      <c r="C25" s="91"/>
      <c r="D25" s="82"/>
      <c r="E25" s="86" t="s">
        <v>16</v>
      </c>
      <c r="F25" s="87"/>
      <c r="G25" s="10">
        <v>99.9</v>
      </c>
      <c r="H25" s="11"/>
      <c r="I25" s="12"/>
      <c r="J25" s="17"/>
      <c r="K25" s="14">
        <v>99.12</v>
      </c>
      <c r="L25" s="10">
        <f t="shared" si="1"/>
        <v>99.9</v>
      </c>
      <c r="M25" s="10">
        <f t="shared" si="2"/>
        <v>0</v>
      </c>
      <c r="N25" s="10">
        <f t="shared" si="3"/>
        <v>0</v>
      </c>
      <c r="O25" s="10">
        <f t="shared" si="4"/>
        <v>0</v>
      </c>
      <c r="P25" s="10">
        <f t="shared" si="5"/>
        <v>99.12</v>
      </c>
    </row>
    <row r="26" spans="1:16" x14ac:dyDescent="0.25">
      <c r="A26" s="108"/>
      <c r="B26" s="126"/>
      <c r="C26" s="91"/>
      <c r="D26" s="82"/>
      <c r="E26" s="88" t="s">
        <v>13</v>
      </c>
      <c r="F26" s="89"/>
      <c r="G26" s="25" t="s">
        <v>45</v>
      </c>
      <c r="H26" s="11"/>
      <c r="I26" s="12"/>
      <c r="J26" s="17"/>
      <c r="K26" s="14">
        <v>97.58</v>
      </c>
      <c r="L26" s="10">
        <f t="shared" si="1"/>
        <v>0</v>
      </c>
      <c r="M26" s="10">
        <f t="shared" si="2"/>
        <v>0</v>
      </c>
      <c r="N26" s="10">
        <f t="shared" si="3"/>
        <v>0</v>
      </c>
      <c r="O26" s="10">
        <f t="shared" si="4"/>
        <v>0</v>
      </c>
      <c r="P26" s="10">
        <f t="shared" si="5"/>
        <v>97.58</v>
      </c>
    </row>
    <row r="27" spans="1:16" x14ac:dyDescent="0.25">
      <c r="A27" s="108"/>
      <c r="B27" s="127"/>
      <c r="C27" s="92"/>
      <c r="D27" s="83"/>
      <c r="E27" s="88" t="s">
        <v>17</v>
      </c>
      <c r="F27" s="89"/>
      <c r="G27" s="10">
        <v>98.53</v>
      </c>
      <c r="H27" s="11"/>
      <c r="I27" s="12"/>
      <c r="J27" s="17"/>
      <c r="K27" s="14">
        <v>99.35</v>
      </c>
      <c r="L27" s="10">
        <f t="shared" si="1"/>
        <v>98.53</v>
      </c>
      <c r="M27" s="10">
        <f t="shared" si="2"/>
        <v>0</v>
      </c>
      <c r="N27" s="10">
        <f t="shared" si="3"/>
        <v>0</v>
      </c>
      <c r="O27" s="10">
        <f t="shared" si="4"/>
        <v>0</v>
      </c>
      <c r="P27" s="10">
        <f t="shared" si="5"/>
        <v>99.35</v>
      </c>
    </row>
    <row r="28" spans="1:16" x14ac:dyDescent="0.25">
      <c r="A28" s="108" t="s">
        <v>139</v>
      </c>
      <c r="B28" s="125">
        <v>8</v>
      </c>
      <c r="C28" s="78" t="s">
        <v>31</v>
      </c>
      <c r="D28" s="81" t="s">
        <v>32</v>
      </c>
      <c r="E28" s="84" t="s">
        <v>11</v>
      </c>
      <c r="F28" s="85"/>
      <c r="G28" s="15"/>
      <c r="H28" s="16">
        <v>2.4</v>
      </c>
      <c r="I28" s="12"/>
      <c r="J28" s="13">
        <v>0.39</v>
      </c>
      <c r="K28" s="18"/>
      <c r="L28" s="10">
        <f t="shared" si="1"/>
        <v>0</v>
      </c>
      <c r="M28" s="10">
        <f t="shared" si="2"/>
        <v>2.4</v>
      </c>
      <c r="N28" s="10">
        <f t="shared" si="3"/>
        <v>0</v>
      </c>
      <c r="O28" s="10">
        <f t="shared" si="4"/>
        <v>0.39</v>
      </c>
      <c r="P28" s="10">
        <f t="shared" si="5"/>
        <v>0</v>
      </c>
    </row>
    <row r="29" spans="1:16" x14ac:dyDescent="0.25">
      <c r="A29" s="108"/>
      <c r="B29" s="126"/>
      <c r="C29" s="79"/>
      <c r="D29" s="82"/>
      <c r="E29" s="86" t="s">
        <v>16</v>
      </c>
      <c r="F29" s="87"/>
      <c r="G29" s="10">
        <v>1.43</v>
      </c>
      <c r="H29" s="11"/>
      <c r="I29" s="12"/>
      <c r="J29" s="17"/>
      <c r="K29" s="14">
        <v>4.7300000000000004</v>
      </c>
      <c r="L29" s="10">
        <f t="shared" si="1"/>
        <v>1.43</v>
      </c>
      <c r="M29" s="10">
        <f t="shared" si="2"/>
        <v>0</v>
      </c>
      <c r="N29" s="10">
        <f t="shared" si="3"/>
        <v>0</v>
      </c>
      <c r="O29" s="10">
        <f t="shared" si="4"/>
        <v>0</v>
      </c>
      <c r="P29" s="10">
        <f t="shared" si="5"/>
        <v>4.7300000000000004</v>
      </c>
    </row>
    <row r="30" spans="1:16" x14ac:dyDescent="0.25">
      <c r="A30" s="108"/>
      <c r="B30" s="126"/>
      <c r="C30" s="79"/>
      <c r="D30" s="82"/>
      <c r="E30" s="88" t="s">
        <v>13</v>
      </c>
      <c r="F30" s="89"/>
      <c r="G30" s="25" t="s">
        <v>45</v>
      </c>
      <c r="H30" s="11"/>
      <c r="I30" s="12"/>
      <c r="J30" s="17"/>
      <c r="K30" s="14">
        <v>3.12</v>
      </c>
      <c r="L30" s="10">
        <f t="shared" si="1"/>
        <v>0</v>
      </c>
      <c r="M30" s="10">
        <f t="shared" si="2"/>
        <v>0</v>
      </c>
      <c r="N30" s="10">
        <f t="shared" si="3"/>
        <v>0</v>
      </c>
      <c r="O30" s="10">
        <f t="shared" si="4"/>
        <v>0</v>
      </c>
      <c r="P30" s="10">
        <f t="shared" si="5"/>
        <v>3.12</v>
      </c>
    </row>
    <row r="31" spans="1:16" x14ac:dyDescent="0.25">
      <c r="A31" s="108"/>
      <c r="B31" s="127"/>
      <c r="C31" s="80"/>
      <c r="D31" s="83"/>
      <c r="E31" s="88" t="s">
        <v>17</v>
      </c>
      <c r="F31" s="89"/>
      <c r="G31" s="10">
        <v>0.18</v>
      </c>
      <c r="H31" s="11"/>
      <c r="I31" s="12"/>
      <c r="J31" s="17"/>
      <c r="K31" s="14">
        <v>0.4</v>
      </c>
      <c r="L31" s="10">
        <f t="shared" si="1"/>
        <v>0.18</v>
      </c>
      <c r="M31" s="10">
        <f t="shared" si="2"/>
        <v>0</v>
      </c>
      <c r="N31" s="10">
        <f t="shared" si="3"/>
        <v>0</v>
      </c>
      <c r="O31" s="10">
        <f t="shared" si="4"/>
        <v>0</v>
      </c>
      <c r="P31" s="10">
        <f t="shared" si="5"/>
        <v>0.4</v>
      </c>
    </row>
  </sheetData>
  <mergeCells count="55">
    <mergeCell ref="B2:B3"/>
    <mergeCell ref="C2:C3"/>
    <mergeCell ref="D2:D3"/>
    <mergeCell ref="E2:F2"/>
    <mergeCell ref="E3:F3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E4:F4"/>
    <mergeCell ref="E5:F5"/>
    <mergeCell ref="B12:B15"/>
    <mergeCell ref="C12:C15"/>
    <mergeCell ref="D12:D15"/>
    <mergeCell ref="B16:B19"/>
    <mergeCell ref="C16:C19"/>
    <mergeCell ref="D16:D19"/>
    <mergeCell ref="B20:B23"/>
    <mergeCell ref="C20:C23"/>
    <mergeCell ref="D20:D23"/>
    <mergeCell ref="E20:F20"/>
    <mergeCell ref="E21:F21"/>
    <mergeCell ref="E22:F22"/>
    <mergeCell ref="E23:F23"/>
    <mergeCell ref="B24:B27"/>
    <mergeCell ref="C24:C27"/>
    <mergeCell ref="D24:D27"/>
    <mergeCell ref="E24:F24"/>
    <mergeCell ref="E25:F25"/>
    <mergeCell ref="E26:F26"/>
    <mergeCell ref="E27:F27"/>
    <mergeCell ref="A20:A23"/>
    <mergeCell ref="A24:A27"/>
    <mergeCell ref="A28:A31"/>
    <mergeCell ref="E1:F1"/>
    <mergeCell ref="A2:A3"/>
    <mergeCell ref="A4:A7"/>
    <mergeCell ref="A8:A11"/>
    <mergeCell ref="A12:A15"/>
    <mergeCell ref="A16:A19"/>
    <mergeCell ref="B28:B31"/>
    <mergeCell ref="C28:C31"/>
    <mergeCell ref="D28:D31"/>
    <mergeCell ref="E28:F28"/>
    <mergeCell ref="E29:F29"/>
    <mergeCell ref="E30:F30"/>
    <mergeCell ref="E31:F3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S24" sqref="S24"/>
    </sheetView>
  </sheetViews>
  <sheetFormatPr defaultRowHeight="13.2" x14ac:dyDescent="0.25"/>
  <cols>
    <col min="1" max="1" width="18.6640625" customWidth="1"/>
  </cols>
  <sheetData>
    <row r="1" spans="1:16" ht="40.799999999999997" x14ac:dyDescent="0.25">
      <c r="A1" s="31" t="s">
        <v>115</v>
      </c>
      <c r="B1" s="72" t="s">
        <v>0</v>
      </c>
      <c r="C1" s="66" t="s">
        <v>1</v>
      </c>
      <c r="D1" s="67" t="s">
        <v>2</v>
      </c>
      <c r="E1" s="109" t="s">
        <v>3</v>
      </c>
      <c r="F1" s="109"/>
      <c r="G1" s="34" t="s">
        <v>4</v>
      </c>
      <c r="H1" s="35" t="s">
        <v>5</v>
      </c>
      <c r="I1" s="36" t="s">
        <v>6</v>
      </c>
      <c r="J1" s="37" t="s">
        <v>7</v>
      </c>
      <c r="K1" s="38" t="s">
        <v>8</v>
      </c>
      <c r="L1" s="34" t="s">
        <v>4</v>
      </c>
      <c r="M1" s="35" t="s">
        <v>5</v>
      </c>
      <c r="N1" s="36" t="s">
        <v>6</v>
      </c>
      <c r="O1" s="37" t="s">
        <v>7</v>
      </c>
      <c r="P1" s="38" t="s">
        <v>8</v>
      </c>
    </row>
    <row r="2" spans="1:16" x14ac:dyDescent="0.25">
      <c r="A2" s="107" t="s">
        <v>140</v>
      </c>
      <c r="B2" s="125">
        <v>1</v>
      </c>
      <c r="C2" s="104" t="s">
        <v>9</v>
      </c>
      <c r="D2" s="104" t="s">
        <v>54</v>
      </c>
      <c r="E2" s="84" t="s">
        <v>11</v>
      </c>
      <c r="F2" s="85"/>
      <c r="G2" s="10">
        <v>100</v>
      </c>
      <c r="H2" s="16">
        <v>100</v>
      </c>
      <c r="I2" s="12"/>
      <c r="J2" s="13">
        <v>98.68</v>
      </c>
      <c r="K2" s="14">
        <v>100</v>
      </c>
      <c r="L2" s="10">
        <f>IF(OR(G2="NA", G2=0),0,(1*G2))</f>
        <v>100</v>
      </c>
      <c r="M2" s="10">
        <f t="shared" ref="M2:P2" si="0">IF(OR(H2="NA", H2=0),0,(1*H2))</f>
        <v>100</v>
      </c>
      <c r="N2" s="10">
        <f t="shared" si="0"/>
        <v>0</v>
      </c>
      <c r="O2" s="10">
        <f t="shared" si="0"/>
        <v>98.68</v>
      </c>
      <c r="P2" s="10">
        <f t="shared" si="0"/>
        <v>100</v>
      </c>
    </row>
    <row r="3" spans="1:16" ht="29.4" customHeight="1" x14ac:dyDescent="0.25">
      <c r="A3" s="108"/>
      <c r="B3" s="127"/>
      <c r="C3" s="106"/>
      <c r="D3" s="106"/>
      <c r="E3" s="88" t="s">
        <v>13</v>
      </c>
      <c r="F3" s="89"/>
      <c r="G3" s="15"/>
      <c r="H3" s="11"/>
      <c r="I3" s="12"/>
      <c r="J3" s="17"/>
      <c r="K3" s="18"/>
      <c r="L3" s="10">
        <f t="shared" ref="L3:L31" si="1">IF(OR(G3="NA", G3=0),0,(1*G3))</f>
        <v>0</v>
      </c>
      <c r="M3" s="10">
        <f t="shared" ref="M3:M31" si="2">IF(OR(H3="NA", H3=0),0,(1*H3))</f>
        <v>0</v>
      </c>
      <c r="N3" s="10">
        <f t="shared" ref="N3:N31" si="3">IF(OR(I3="NA", I3=0),0,(1*I3))</f>
        <v>0</v>
      </c>
      <c r="O3" s="10">
        <f t="shared" ref="O3:O31" si="4">IF(OR(J3="NA", J3=0),0,(1*J3))</f>
        <v>0</v>
      </c>
      <c r="P3" s="10">
        <f t="shared" ref="P3:P31" si="5">IF(OR(K3="NA", K3=0),0,(1*K3))</f>
        <v>0</v>
      </c>
    </row>
    <row r="4" spans="1:16" x14ac:dyDescent="0.25">
      <c r="A4" s="108" t="s">
        <v>140</v>
      </c>
      <c r="B4" s="125">
        <v>2</v>
      </c>
      <c r="C4" s="93" t="s">
        <v>14</v>
      </c>
      <c r="D4" s="93" t="s">
        <v>15</v>
      </c>
      <c r="E4" s="84" t="s">
        <v>11</v>
      </c>
      <c r="F4" s="85"/>
      <c r="G4" s="15"/>
      <c r="H4" s="16">
        <v>100</v>
      </c>
      <c r="I4" s="12"/>
      <c r="J4" s="13">
        <v>100</v>
      </c>
      <c r="K4" s="18"/>
      <c r="L4" s="10">
        <f t="shared" si="1"/>
        <v>0</v>
      </c>
      <c r="M4" s="10">
        <f t="shared" si="2"/>
        <v>100</v>
      </c>
      <c r="N4" s="10">
        <f t="shared" si="3"/>
        <v>0</v>
      </c>
      <c r="O4" s="10">
        <f t="shared" si="4"/>
        <v>100</v>
      </c>
      <c r="P4" s="10">
        <f t="shared" si="5"/>
        <v>0</v>
      </c>
    </row>
    <row r="5" spans="1:16" x14ac:dyDescent="0.25">
      <c r="A5" s="108"/>
      <c r="B5" s="126"/>
      <c r="C5" s="94"/>
      <c r="D5" s="94"/>
      <c r="E5" s="86" t="s">
        <v>16</v>
      </c>
      <c r="F5" s="87"/>
      <c r="G5" s="10">
        <v>100</v>
      </c>
      <c r="H5" s="11"/>
      <c r="I5" s="12"/>
      <c r="J5" s="17"/>
      <c r="K5" s="14">
        <v>99</v>
      </c>
      <c r="L5" s="10">
        <f t="shared" si="1"/>
        <v>100</v>
      </c>
      <c r="M5" s="10">
        <f t="shared" si="2"/>
        <v>0</v>
      </c>
      <c r="N5" s="10">
        <f t="shared" si="3"/>
        <v>0</v>
      </c>
      <c r="O5" s="10">
        <f t="shared" si="4"/>
        <v>0</v>
      </c>
      <c r="P5" s="10">
        <f t="shared" si="5"/>
        <v>99</v>
      </c>
    </row>
    <row r="6" spans="1:16" x14ac:dyDescent="0.25">
      <c r="A6" s="108"/>
      <c r="B6" s="126"/>
      <c r="C6" s="94"/>
      <c r="D6" s="94"/>
      <c r="E6" s="88" t="s">
        <v>13</v>
      </c>
      <c r="F6" s="89"/>
      <c r="G6" s="25" t="s">
        <v>45</v>
      </c>
      <c r="H6" s="11"/>
      <c r="I6" s="12"/>
      <c r="J6" s="17"/>
      <c r="K6" s="14">
        <v>100</v>
      </c>
      <c r="L6" s="10">
        <f t="shared" si="1"/>
        <v>0</v>
      </c>
      <c r="M6" s="10">
        <f t="shared" si="2"/>
        <v>0</v>
      </c>
      <c r="N6" s="10">
        <f t="shared" si="3"/>
        <v>0</v>
      </c>
      <c r="O6" s="10">
        <f t="shared" si="4"/>
        <v>0</v>
      </c>
      <c r="P6" s="10">
        <f t="shared" si="5"/>
        <v>100</v>
      </c>
    </row>
    <row r="7" spans="1:16" x14ac:dyDescent="0.25">
      <c r="A7" s="108"/>
      <c r="B7" s="127"/>
      <c r="C7" s="95"/>
      <c r="D7" s="95"/>
      <c r="E7" s="88" t="s">
        <v>17</v>
      </c>
      <c r="F7" s="89"/>
      <c r="G7" s="10">
        <v>100</v>
      </c>
      <c r="H7" s="11"/>
      <c r="I7" s="12"/>
      <c r="J7" s="17"/>
      <c r="K7" s="14">
        <v>100</v>
      </c>
      <c r="L7" s="10">
        <f t="shared" si="1"/>
        <v>100</v>
      </c>
      <c r="M7" s="10">
        <f t="shared" si="2"/>
        <v>0</v>
      </c>
      <c r="N7" s="10">
        <f t="shared" si="3"/>
        <v>0</v>
      </c>
      <c r="O7" s="10">
        <f t="shared" si="4"/>
        <v>0</v>
      </c>
      <c r="P7" s="10">
        <f t="shared" si="5"/>
        <v>100</v>
      </c>
    </row>
    <row r="8" spans="1:16" x14ac:dyDescent="0.25">
      <c r="A8" s="108" t="s">
        <v>140</v>
      </c>
      <c r="B8" s="125">
        <v>3</v>
      </c>
      <c r="C8" s="93" t="s">
        <v>18</v>
      </c>
      <c r="D8" s="93" t="s">
        <v>19</v>
      </c>
      <c r="E8" s="84" t="s">
        <v>11</v>
      </c>
      <c r="F8" s="85"/>
      <c r="G8" s="15"/>
      <c r="H8" s="16">
        <v>100</v>
      </c>
      <c r="I8" s="12"/>
      <c r="J8" s="13">
        <v>100</v>
      </c>
      <c r="K8" s="18"/>
      <c r="L8" s="10">
        <f t="shared" si="1"/>
        <v>0</v>
      </c>
      <c r="M8" s="10">
        <f t="shared" si="2"/>
        <v>100</v>
      </c>
      <c r="N8" s="10">
        <f t="shared" si="3"/>
        <v>0</v>
      </c>
      <c r="O8" s="10">
        <f t="shared" si="4"/>
        <v>100</v>
      </c>
      <c r="P8" s="10">
        <f t="shared" si="5"/>
        <v>0</v>
      </c>
    </row>
    <row r="9" spans="1:16" x14ac:dyDescent="0.25">
      <c r="A9" s="108"/>
      <c r="B9" s="126"/>
      <c r="C9" s="94"/>
      <c r="D9" s="94"/>
      <c r="E9" s="86" t="s">
        <v>16</v>
      </c>
      <c r="F9" s="87"/>
      <c r="G9" s="10">
        <v>100</v>
      </c>
      <c r="H9" s="11"/>
      <c r="I9" s="12"/>
      <c r="J9" s="17"/>
      <c r="K9" s="14">
        <v>100</v>
      </c>
      <c r="L9" s="10">
        <f t="shared" si="1"/>
        <v>100</v>
      </c>
      <c r="M9" s="10">
        <f t="shared" si="2"/>
        <v>0</v>
      </c>
      <c r="N9" s="10">
        <f t="shared" si="3"/>
        <v>0</v>
      </c>
      <c r="O9" s="10">
        <f t="shared" si="4"/>
        <v>0</v>
      </c>
      <c r="P9" s="10">
        <f t="shared" si="5"/>
        <v>100</v>
      </c>
    </row>
    <row r="10" spans="1:16" x14ac:dyDescent="0.25">
      <c r="A10" s="108"/>
      <c r="B10" s="126"/>
      <c r="C10" s="94"/>
      <c r="D10" s="94"/>
      <c r="E10" s="88" t="s">
        <v>13</v>
      </c>
      <c r="F10" s="89"/>
      <c r="G10" s="25" t="s">
        <v>45</v>
      </c>
      <c r="H10" s="11"/>
      <c r="I10" s="12"/>
      <c r="J10" s="17"/>
      <c r="K10" s="14">
        <v>100</v>
      </c>
      <c r="L10" s="10">
        <f t="shared" si="1"/>
        <v>0</v>
      </c>
      <c r="M10" s="10">
        <f t="shared" si="2"/>
        <v>0</v>
      </c>
      <c r="N10" s="10">
        <f t="shared" si="3"/>
        <v>0</v>
      </c>
      <c r="O10" s="10">
        <f t="shared" si="4"/>
        <v>0</v>
      </c>
      <c r="P10" s="10">
        <f t="shared" si="5"/>
        <v>100</v>
      </c>
    </row>
    <row r="11" spans="1:16" x14ac:dyDescent="0.25">
      <c r="A11" s="108"/>
      <c r="B11" s="127"/>
      <c r="C11" s="95"/>
      <c r="D11" s="95"/>
      <c r="E11" s="88" t="s">
        <v>17</v>
      </c>
      <c r="F11" s="89"/>
      <c r="G11" s="10">
        <v>100</v>
      </c>
      <c r="H11" s="11"/>
      <c r="I11" s="12"/>
      <c r="J11" s="17"/>
      <c r="K11" s="14">
        <v>100</v>
      </c>
      <c r="L11" s="10">
        <f t="shared" si="1"/>
        <v>100</v>
      </c>
      <c r="M11" s="10">
        <f t="shared" si="2"/>
        <v>0</v>
      </c>
      <c r="N11" s="10">
        <f t="shared" si="3"/>
        <v>0</v>
      </c>
      <c r="O11" s="10">
        <f t="shared" si="4"/>
        <v>0</v>
      </c>
      <c r="P11" s="10">
        <f t="shared" si="5"/>
        <v>100</v>
      </c>
    </row>
    <row r="12" spans="1:16" x14ac:dyDescent="0.25">
      <c r="A12" s="108" t="s">
        <v>140</v>
      </c>
      <c r="B12" s="125">
        <v>4</v>
      </c>
      <c r="C12" s="99" t="s">
        <v>20</v>
      </c>
      <c r="D12" s="99" t="s">
        <v>21</v>
      </c>
      <c r="E12" s="8" t="s">
        <v>22</v>
      </c>
      <c r="F12" s="19" t="s">
        <v>23</v>
      </c>
      <c r="G12" s="15"/>
      <c r="H12" s="11"/>
      <c r="I12" s="12"/>
      <c r="J12" s="17"/>
      <c r="K12" s="18"/>
      <c r="L12" s="10">
        <f t="shared" si="1"/>
        <v>0</v>
      </c>
      <c r="M12" s="10">
        <f t="shared" si="2"/>
        <v>0</v>
      </c>
      <c r="N12" s="10">
        <f t="shared" si="3"/>
        <v>0</v>
      </c>
      <c r="O12" s="10">
        <f t="shared" si="4"/>
        <v>0</v>
      </c>
      <c r="P12" s="10">
        <f t="shared" si="5"/>
        <v>0</v>
      </c>
    </row>
    <row r="13" spans="1:16" x14ac:dyDescent="0.25">
      <c r="A13" s="108"/>
      <c r="B13" s="126"/>
      <c r="C13" s="100"/>
      <c r="D13" s="100"/>
      <c r="E13" s="8" t="s">
        <v>12</v>
      </c>
      <c r="F13" s="19" t="s">
        <v>23</v>
      </c>
      <c r="G13" s="10">
        <v>45.78</v>
      </c>
      <c r="H13" s="16">
        <v>47.52</v>
      </c>
      <c r="I13" s="12"/>
      <c r="J13" s="17"/>
      <c r="K13" s="14">
        <v>141.35</v>
      </c>
      <c r="L13" s="10">
        <f t="shared" si="1"/>
        <v>45.78</v>
      </c>
      <c r="M13" s="10">
        <f t="shared" si="2"/>
        <v>47.52</v>
      </c>
      <c r="N13" s="10">
        <f t="shared" si="3"/>
        <v>0</v>
      </c>
      <c r="O13" s="10">
        <f t="shared" si="4"/>
        <v>0</v>
      </c>
      <c r="P13" s="10">
        <f t="shared" si="5"/>
        <v>141.35</v>
      </c>
    </row>
    <row r="14" spans="1:16" x14ac:dyDescent="0.25">
      <c r="A14" s="108"/>
      <c r="B14" s="126"/>
      <c r="C14" s="100"/>
      <c r="D14" s="100"/>
      <c r="E14" s="8" t="s">
        <v>13</v>
      </c>
      <c r="F14" s="19" t="s">
        <v>23</v>
      </c>
      <c r="G14" s="25" t="s">
        <v>45</v>
      </c>
      <c r="H14" s="16">
        <v>1722.06</v>
      </c>
      <c r="I14" s="12"/>
      <c r="J14" s="17"/>
      <c r="K14" s="14">
        <v>3636.21</v>
      </c>
      <c r="L14" s="10">
        <f t="shared" si="1"/>
        <v>0</v>
      </c>
      <c r="M14" s="10">
        <f t="shared" si="2"/>
        <v>1722.06</v>
      </c>
      <c r="N14" s="10">
        <f t="shared" si="3"/>
        <v>0</v>
      </c>
      <c r="O14" s="10">
        <f t="shared" si="4"/>
        <v>0</v>
      </c>
      <c r="P14" s="10">
        <f t="shared" si="5"/>
        <v>3636.21</v>
      </c>
    </row>
    <row r="15" spans="1:16" x14ac:dyDescent="0.25">
      <c r="A15" s="108"/>
      <c r="B15" s="127"/>
      <c r="C15" s="101"/>
      <c r="D15" s="101"/>
      <c r="E15" s="8" t="s">
        <v>17</v>
      </c>
      <c r="F15" s="19" t="s">
        <v>24</v>
      </c>
      <c r="G15" s="10">
        <v>2722.91</v>
      </c>
      <c r="H15" s="11"/>
      <c r="I15" s="12"/>
      <c r="J15" s="13">
        <v>9318.2199999999993</v>
      </c>
      <c r="K15" s="14">
        <v>11373.91</v>
      </c>
      <c r="L15" s="10">
        <f t="shared" si="1"/>
        <v>2722.91</v>
      </c>
      <c r="M15" s="10">
        <f t="shared" si="2"/>
        <v>0</v>
      </c>
      <c r="N15" s="10">
        <f t="shared" si="3"/>
        <v>0</v>
      </c>
      <c r="O15" s="10">
        <f t="shared" si="4"/>
        <v>9318.2199999999993</v>
      </c>
      <c r="P15" s="10">
        <f t="shared" si="5"/>
        <v>11373.91</v>
      </c>
    </row>
    <row r="16" spans="1:16" x14ac:dyDescent="0.25">
      <c r="A16" s="108" t="s">
        <v>140</v>
      </c>
      <c r="B16" s="125">
        <v>5</v>
      </c>
      <c r="C16" s="99" t="s">
        <v>25</v>
      </c>
      <c r="D16" s="99" t="s">
        <v>26</v>
      </c>
      <c r="E16" s="8" t="s">
        <v>22</v>
      </c>
      <c r="F16" s="19" t="s">
        <v>23</v>
      </c>
      <c r="G16" s="15"/>
      <c r="H16" s="11"/>
      <c r="I16" s="12"/>
      <c r="J16" s="17"/>
      <c r="K16" s="18"/>
      <c r="L16" s="10">
        <f t="shared" si="1"/>
        <v>0</v>
      </c>
      <c r="M16" s="10">
        <f t="shared" si="2"/>
        <v>0</v>
      </c>
      <c r="N16" s="10">
        <f t="shared" si="3"/>
        <v>0</v>
      </c>
      <c r="O16" s="10">
        <f t="shared" si="4"/>
        <v>0</v>
      </c>
      <c r="P16" s="10">
        <f t="shared" si="5"/>
        <v>0</v>
      </c>
    </row>
    <row r="17" spans="1:16" x14ac:dyDescent="0.25">
      <c r="A17" s="108"/>
      <c r="B17" s="126"/>
      <c r="C17" s="100"/>
      <c r="D17" s="100"/>
      <c r="E17" s="8" t="s">
        <v>12</v>
      </c>
      <c r="F17" s="19" t="s">
        <v>23</v>
      </c>
      <c r="G17" s="10">
        <v>108.75</v>
      </c>
      <c r="H17" s="16">
        <v>187.56</v>
      </c>
      <c r="I17" s="12"/>
      <c r="J17" s="17"/>
      <c r="K17" s="14">
        <v>184.24</v>
      </c>
      <c r="L17" s="10">
        <f t="shared" si="1"/>
        <v>108.75</v>
      </c>
      <c r="M17" s="10">
        <f t="shared" si="2"/>
        <v>187.56</v>
      </c>
      <c r="N17" s="10">
        <f t="shared" si="3"/>
        <v>0</v>
      </c>
      <c r="O17" s="10">
        <f t="shared" si="4"/>
        <v>0</v>
      </c>
      <c r="P17" s="10">
        <f t="shared" si="5"/>
        <v>184.24</v>
      </c>
    </row>
    <row r="18" spans="1:16" x14ac:dyDescent="0.25">
      <c r="A18" s="108"/>
      <c r="B18" s="126"/>
      <c r="C18" s="100"/>
      <c r="D18" s="100"/>
      <c r="E18" s="8" t="s">
        <v>13</v>
      </c>
      <c r="F18" s="19" t="s">
        <v>23</v>
      </c>
      <c r="G18" s="25" t="s">
        <v>45</v>
      </c>
      <c r="H18" s="16">
        <v>5098.34</v>
      </c>
      <c r="I18" s="12"/>
      <c r="J18" s="17"/>
      <c r="K18" s="14">
        <v>7559.97</v>
      </c>
      <c r="L18" s="10">
        <f t="shared" si="1"/>
        <v>0</v>
      </c>
      <c r="M18" s="10">
        <f t="shared" si="2"/>
        <v>5098.34</v>
      </c>
      <c r="N18" s="10">
        <f t="shared" si="3"/>
        <v>0</v>
      </c>
      <c r="O18" s="10">
        <f t="shared" si="4"/>
        <v>0</v>
      </c>
      <c r="P18" s="10">
        <f t="shared" si="5"/>
        <v>7559.97</v>
      </c>
    </row>
    <row r="19" spans="1:16" x14ac:dyDescent="0.25">
      <c r="A19" s="108"/>
      <c r="B19" s="127"/>
      <c r="C19" s="101"/>
      <c r="D19" s="101"/>
      <c r="E19" s="8" t="s">
        <v>17</v>
      </c>
      <c r="F19" s="19" t="s">
        <v>24</v>
      </c>
      <c r="G19" s="10">
        <v>10655.34</v>
      </c>
      <c r="H19" s="11"/>
      <c r="I19" s="12"/>
      <c r="J19" s="13">
        <v>23069.38</v>
      </c>
      <c r="K19" s="14">
        <v>23969.01</v>
      </c>
      <c r="L19" s="10">
        <f t="shared" si="1"/>
        <v>10655.34</v>
      </c>
      <c r="M19" s="10">
        <f t="shared" si="2"/>
        <v>0</v>
      </c>
      <c r="N19" s="10">
        <f t="shared" si="3"/>
        <v>0</v>
      </c>
      <c r="O19" s="10">
        <f t="shared" si="4"/>
        <v>23069.38</v>
      </c>
      <c r="P19" s="10">
        <f t="shared" si="5"/>
        <v>23969.01</v>
      </c>
    </row>
    <row r="20" spans="1:16" x14ac:dyDescent="0.25">
      <c r="A20" s="108" t="s">
        <v>140</v>
      </c>
      <c r="B20" s="125">
        <v>6</v>
      </c>
      <c r="C20" s="93" t="s">
        <v>27</v>
      </c>
      <c r="D20" s="96" t="s">
        <v>28</v>
      </c>
      <c r="E20" s="84" t="s">
        <v>11</v>
      </c>
      <c r="F20" s="85"/>
      <c r="G20" s="15"/>
      <c r="H20" s="16">
        <v>50.8</v>
      </c>
      <c r="I20" s="12"/>
      <c r="J20" s="13">
        <v>47.61</v>
      </c>
      <c r="K20" s="18"/>
      <c r="L20" s="10">
        <f t="shared" si="1"/>
        <v>0</v>
      </c>
      <c r="M20" s="10">
        <f t="shared" si="2"/>
        <v>50.8</v>
      </c>
      <c r="N20" s="10">
        <f t="shared" si="3"/>
        <v>0</v>
      </c>
      <c r="O20" s="10">
        <f t="shared" si="4"/>
        <v>47.61</v>
      </c>
      <c r="P20" s="10">
        <f t="shared" si="5"/>
        <v>0</v>
      </c>
    </row>
    <row r="21" spans="1:16" x14ac:dyDescent="0.25">
      <c r="A21" s="108"/>
      <c r="B21" s="126"/>
      <c r="C21" s="94"/>
      <c r="D21" s="97"/>
      <c r="E21" s="86" t="s">
        <v>16</v>
      </c>
      <c r="F21" s="87"/>
      <c r="G21" s="10">
        <v>148.91999999999999</v>
      </c>
      <c r="H21" s="11"/>
      <c r="I21" s="12"/>
      <c r="J21" s="17"/>
      <c r="K21" s="14">
        <v>180.67</v>
      </c>
      <c r="L21" s="10">
        <f t="shared" si="1"/>
        <v>148.91999999999999</v>
      </c>
      <c r="M21" s="10">
        <f t="shared" si="2"/>
        <v>0</v>
      </c>
      <c r="N21" s="10">
        <f t="shared" si="3"/>
        <v>0</v>
      </c>
      <c r="O21" s="10">
        <f t="shared" si="4"/>
        <v>0</v>
      </c>
      <c r="P21" s="10">
        <f t="shared" si="5"/>
        <v>180.67</v>
      </c>
    </row>
    <row r="22" spans="1:16" x14ac:dyDescent="0.25">
      <c r="A22" s="108"/>
      <c r="B22" s="126"/>
      <c r="C22" s="94"/>
      <c r="D22" s="97"/>
      <c r="E22" s="88" t="s">
        <v>13</v>
      </c>
      <c r="F22" s="89"/>
      <c r="G22" s="25" t="s">
        <v>45</v>
      </c>
      <c r="H22" s="11"/>
      <c r="I22" s="12"/>
      <c r="J22" s="17"/>
      <c r="K22" s="14">
        <v>62.67</v>
      </c>
      <c r="L22" s="10">
        <f t="shared" si="1"/>
        <v>0</v>
      </c>
      <c r="M22" s="10">
        <f t="shared" si="2"/>
        <v>0</v>
      </c>
      <c r="N22" s="10">
        <f t="shared" si="3"/>
        <v>0</v>
      </c>
      <c r="O22" s="10">
        <f t="shared" si="4"/>
        <v>0</v>
      </c>
      <c r="P22" s="10">
        <f t="shared" si="5"/>
        <v>62.67</v>
      </c>
    </row>
    <row r="23" spans="1:16" x14ac:dyDescent="0.25">
      <c r="A23" s="108"/>
      <c r="B23" s="127"/>
      <c r="C23" s="95"/>
      <c r="D23" s="98"/>
      <c r="E23" s="88" t="s">
        <v>17</v>
      </c>
      <c r="F23" s="89"/>
      <c r="G23" s="10">
        <v>53.72</v>
      </c>
      <c r="H23" s="11"/>
      <c r="I23" s="12"/>
      <c r="J23" s="17"/>
      <c r="K23" s="14">
        <v>27</v>
      </c>
      <c r="L23" s="10">
        <f t="shared" si="1"/>
        <v>53.72</v>
      </c>
      <c r="M23" s="10">
        <f t="shared" si="2"/>
        <v>0</v>
      </c>
      <c r="N23" s="10">
        <f t="shared" si="3"/>
        <v>0</v>
      </c>
      <c r="O23" s="10">
        <f t="shared" si="4"/>
        <v>0</v>
      </c>
      <c r="P23" s="10">
        <f t="shared" si="5"/>
        <v>27</v>
      </c>
    </row>
    <row r="24" spans="1:16" x14ac:dyDescent="0.25">
      <c r="A24" s="108" t="s">
        <v>140</v>
      </c>
      <c r="B24" s="125">
        <v>7</v>
      </c>
      <c r="C24" s="90" t="s">
        <v>29</v>
      </c>
      <c r="D24" s="81" t="s">
        <v>30</v>
      </c>
      <c r="E24" s="84" t="s">
        <v>11</v>
      </c>
      <c r="F24" s="85"/>
      <c r="G24" s="15"/>
      <c r="H24" s="16">
        <v>95.06</v>
      </c>
      <c r="I24" s="12"/>
      <c r="J24" s="13">
        <v>99.79</v>
      </c>
      <c r="K24" s="18"/>
      <c r="L24" s="10">
        <f t="shared" si="1"/>
        <v>0</v>
      </c>
      <c r="M24" s="10">
        <f t="shared" si="2"/>
        <v>95.06</v>
      </c>
      <c r="N24" s="10">
        <f t="shared" si="3"/>
        <v>0</v>
      </c>
      <c r="O24" s="10">
        <f t="shared" si="4"/>
        <v>99.79</v>
      </c>
      <c r="P24" s="10">
        <f t="shared" si="5"/>
        <v>0</v>
      </c>
    </row>
    <row r="25" spans="1:16" x14ac:dyDescent="0.25">
      <c r="A25" s="108"/>
      <c r="B25" s="126"/>
      <c r="C25" s="91"/>
      <c r="D25" s="82"/>
      <c r="E25" s="86" t="s">
        <v>16</v>
      </c>
      <c r="F25" s="87"/>
      <c r="G25" s="10">
        <v>99.95</v>
      </c>
      <c r="H25" s="11"/>
      <c r="I25" s="12"/>
      <c r="J25" s="17"/>
      <c r="K25" s="14">
        <v>99.09</v>
      </c>
      <c r="L25" s="10">
        <f t="shared" si="1"/>
        <v>99.95</v>
      </c>
      <c r="M25" s="10">
        <f t="shared" si="2"/>
        <v>0</v>
      </c>
      <c r="N25" s="10">
        <f t="shared" si="3"/>
        <v>0</v>
      </c>
      <c r="O25" s="10">
        <f t="shared" si="4"/>
        <v>0</v>
      </c>
      <c r="P25" s="10">
        <f t="shared" si="5"/>
        <v>99.09</v>
      </c>
    </row>
    <row r="26" spans="1:16" x14ac:dyDescent="0.25">
      <c r="A26" s="108"/>
      <c r="B26" s="126"/>
      <c r="C26" s="91"/>
      <c r="D26" s="82"/>
      <c r="E26" s="88" t="s">
        <v>13</v>
      </c>
      <c r="F26" s="89"/>
      <c r="G26" s="25" t="s">
        <v>45</v>
      </c>
      <c r="H26" s="11"/>
      <c r="I26" s="12"/>
      <c r="J26" s="17"/>
      <c r="K26" s="14">
        <v>96.51</v>
      </c>
      <c r="L26" s="10">
        <f t="shared" si="1"/>
        <v>0</v>
      </c>
      <c r="M26" s="10">
        <f t="shared" si="2"/>
        <v>0</v>
      </c>
      <c r="N26" s="10">
        <f t="shared" si="3"/>
        <v>0</v>
      </c>
      <c r="O26" s="10">
        <f t="shared" si="4"/>
        <v>0</v>
      </c>
      <c r="P26" s="10">
        <f t="shared" si="5"/>
        <v>96.51</v>
      </c>
    </row>
    <row r="27" spans="1:16" x14ac:dyDescent="0.25">
      <c r="A27" s="108"/>
      <c r="B27" s="127"/>
      <c r="C27" s="92"/>
      <c r="D27" s="83"/>
      <c r="E27" s="88" t="s">
        <v>17</v>
      </c>
      <c r="F27" s="89"/>
      <c r="G27" s="10">
        <v>99.95</v>
      </c>
      <c r="H27" s="11"/>
      <c r="I27" s="12"/>
      <c r="J27" s="17"/>
      <c r="K27" s="14">
        <v>99.98</v>
      </c>
      <c r="L27" s="10">
        <f t="shared" si="1"/>
        <v>99.95</v>
      </c>
      <c r="M27" s="10">
        <f t="shared" si="2"/>
        <v>0</v>
      </c>
      <c r="N27" s="10">
        <f t="shared" si="3"/>
        <v>0</v>
      </c>
      <c r="O27" s="10">
        <f t="shared" si="4"/>
        <v>0</v>
      </c>
      <c r="P27" s="10">
        <f t="shared" si="5"/>
        <v>99.98</v>
      </c>
    </row>
    <row r="28" spans="1:16" x14ac:dyDescent="0.25">
      <c r="A28" s="108" t="s">
        <v>140</v>
      </c>
      <c r="B28" s="125">
        <v>8</v>
      </c>
      <c r="C28" s="78" t="s">
        <v>31</v>
      </c>
      <c r="D28" s="81" t="s">
        <v>32</v>
      </c>
      <c r="E28" s="84" t="s">
        <v>11</v>
      </c>
      <c r="F28" s="85"/>
      <c r="G28" s="15"/>
      <c r="H28" s="16">
        <v>4.93</v>
      </c>
      <c r="I28" s="12"/>
      <c r="J28" s="13">
        <v>0.44</v>
      </c>
      <c r="K28" s="18"/>
      <c r="L28" s="10">
        <f t="shared" si="1"/>
        <v>0</v>
      </c>
      <c r="M28" s="10">
        <f t="shared" si="2"/>
        <v>4.93</v>
      </c>
      <c r="N28" s="10">
        <f t="shared" si="3"/>
        <v>0</v>
      </c>
      <c r="O28" s="10">
        <f t="shared" si="4"/>
        <v>0.44</v>
      </c>
      <c r="P28" s="10">
        <f t="shared" si="5"/>
        <v>0</v>
      </c>
    </row>
    <row r="29" spans="1:16" x14ac:dyDescent="0.25">
      <c r="A29" s="108"/>
      <c r="B29" s="126"/>
      <c r="C29" s="79"/>
      <c r="D29" s="82"/>
      <c r="E29" s="86" t="s">
        <v>16</v>
      </c>
      <c r="F29" s="87"/>
      <c r="G29" s="10">
        <v>1.32</v>
      </c>
      <c r="H29" s="11"/>
      <c r="I29" s="12"/>
      <c r="J29" s="17"/>
      <c r="K29" s="14">
        <v>4.0599999999999996</v>
      </c>
      <c r="L29" s="10">
        <f t="shared" si="1"/>
        <v>1.32</v>
      </c>
      <c r="M29" s="10">
        <f t="shared" si="2"/>
        <v>0</v>
      </c>
      <c r="N29" s="10">
        <f t="shared" si="3"/>
        <v>0</v>
      </c>
      <c r="O29" s="10">
        <f t="shared" si="4"/>
        <v>0</v>
      </c>
      <c r="P29" s="10">
        <f t="shared" si="5"/>
        <v>4.0599999999999996</v>
      </c>
    </row>
    <row r="30" spans="1:16" x14ac:dyDescent="0.25">
      <c r="A30" s="108"/>
      <c r="B30" s="126"/>
      <c r="C30" s="79"/>
      <c r="D30" s="82"/>
      <c r="E30" s="88" t="s">
        <v>13</v>
      </c>
      <c r="F30" s="89"/>
      <c r="G30" s="25" t="s">
        <v>45</v>
      </c>
      <c r="H30" s="11"/>
      <c r="I30" s="12"/>
      <c r="J30" s="17"/>
      <c r="K30" s="14">
        <v>0.9</v>
      </c>
      <c r="L30" s="10">
        <f t="shared" si="1"/>
        <v>0</v>
      </c>
      <c r="M30" s="10">
        <f t="shared" si="2"/>
        <v>0</v>
      </c>
      <c r="N30" s="10">
        <f t="shared" si="3"/>
        <v>0</v>
      </c>
      <c r="O30" s="10">
        <f t="shared" si="4"/>
        <v>0</v>
      </c>
      <c r="P30" s="10">
        <f t="shared" si="5"/>
        <v>0.9</v>
      </c>
    </row>
    <row r="31" spans="1:16" x14ac:dyDescent="0.25">
      <c r="A31" s="108"/>
      <c r="B31" s="127"/>
      <c r="C31" s="80"/>
      <c r="D31" s="83"/>
      <c r="E31" s="88" t="s">
        <v>17</v>
      </c>
      <c r="F31" s="89"/>
      <c r="G31" s="10">
        <v>0.54</v>
      </c>
      <c r="H31" s="11"/>
      <c r="I31" s="12"/>
      <c r="J31" s="17"/>
      <c r="K31" s="14">
        <v>0.13</v>
      </c>
      <c r="L31" s="10">
        <f t="shared" si="1"/>
        <v>0.54</v>
      </c>
      <c r="M31" s="10">
        <f t="shared" si="2"/>
        <v>0</v>
      </c>
      <c r="N31" s="10">
        <f t="shared" si="3"/>
        <v>0</v>
      </c>
      <c r="O31" s="10">
        <f t="shared" si="4"/>
        <v>0</v>
      </c>
      <c r="P31" s="10">
        <f t="shared" si="5"/>
        <v>0.13</v>
      </c>
    </row>
  </sheetData>
  <mergeCells count="55">
    <mergeCell ref="B2:B3"/>
    <mergeCell ref="C2:C3"/>
    <mergeCell ref="D2:D3"/>
    <mergeCell ref="E2:F2"/>
    <mergeCell ref="E3:F3"/>
    <mergeCell ref="E6:F6"/>
    <mergeCell ref="E7:F7"/>
    <mergeCell ref="B8:B11"/>
    <mergeCell ref="C8:C11"/>
    <mergeCell ref="D8:D11"/>
    <mergeCell ref="E8:F8"/>
    <mergeCell ref="E9:F9"/>
    <mergeCell ref="E10:F10"/>
    <mergeCell ref="E11:F11"/>
    <mergeCell ref="B4:B7"/>
    <mergeCell ref="C4:C7"/>
    <mergeCell ref="D4:D7"/>
    <mergeCell ref="E4:F4"/>
    <mergeCell ref="E5:F5"/>
    <mergeCell ref="B12:B15"/>
    <mergeCell ref="C12:C15"/>
    <mergeCell ref="D12:D15"/>
    <mergeCell ref="B16:B19"/>
    <mergeCell ref="C16:C19"/>
    <mergeCell ref="D16:D19"/>
    <mergeCell ref="B20:B23"/>
    <mergeCell ref="C20:C23"/>
    <mergeCell ref="D20:D23"/>
    <mergeCell ref="E20:F20"/>
    <mergeCell ref="E21:F21"/>
    <mergeCell ref="E22:F22"/>
    <mergeCell ref="E23:F23"/>
    <mergeCell ref="B24:B27"/>
    <mergeCell ref="C24:C27"/>
    <mergeCell ref="D24:D27"/>
    <mergeCell ref="E24:F24"/>
    <mergeCell ref="E25:F25"/>
    <mergeCell ref="E26:F26"/>
    <mergeCell ref="E27:F27"/>
    <mergeCell ref="A20:A23"/>
    <mergeCell ref="A24:A27"/>
    <mergeCell ref="A28:A31"/>
    <mergeCell ref="E1:F1"/>
    <mergeCell ref="A2:A3"/>
    <mergeCell ref="A4:A7"/>
    <mergeCell ref="A8:A11"/>
    <mergeCell ref="A12:A15"/>
    <mergeCell ref="A16:A19"/>
    <mergeCell ref="B28:B31"/>
    <mergeCell ref="C28:C31"/>
    <mergeCell ref="D28:D31"/>
    <mergeCell ref="E28:F28"/>
    <mergeCell ref="E29:F29"/>
    <mergeCell ref="E30:F30"/>
    <mergeCell ref="E31: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Andhra Pradesh  </vt:lpstr>
      <vt:lpstr>Assam</vt:lpstr>
      <vt:lpstr>Bihar and Jharkhand</vt:lpstr>
      <vt:lpstr>Chennai</vt:lpstr>
      <vt:lpstr>Delhi</vt:lpstr>
      <vt:lpstr>Gujrat</vt:lpstr>
      <vt:lpstr>Himachal Pradesh</vt:lpstr>
      <vt:lpstr>Haryana</vt:lpstr>
      <vt:lpstr>Jammu  and Kashmir</vt:lpstr>
      <vt:lpstr>Kolkata</vt:lpstr>
      <vt:lpstr>Kerala</vt:lpstr>
      <vt:lpstr>Karnataka</vt:lpstr>
      <vt:lpstr>Maharashtra</vt:lpstr>
      <vt:lpstr>Madhya Pradesh</vt:lpstr>
      <vt:lpstr>Mumbai</vt:lpstr>
      <vt:lpstr>North East</vt:lpstr>
      <vt:lpstr>Orissa</vt:lpstr>
      <vt:lpstr>Punjab</vt:lpstr>
      <vt:lpstr>Rajasthan</vt:lpstr>
      <vt:lpstr>Tamilnadu</vt:lpstr>
      <vt:lpstr>Utar Pradesh (East)</vt:lpstr>
      <vt:lpstr>Utar Pradesh (West)</vt:lpstr>
      <vt:lpstr>West Bengal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Vishwas Saxena</dc:creator>
  <cp:lastModifiedBy>hp</cp:lastModifiedBy>
  <dcterms:created xsi:type="dcterms:W3CDTF">2024-08-26T12:38:19Z</dcterms:created>
  <dcterms:modified xsi:type="dcterms:W3CDTF">2024-08-27T16:34:54Z</dcterms:modified>
</cp:coreProperties>
</file>